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/>
  <bookViews>
    <workbookView xWindow="-26640" yWindow="-120" windowWidth="28785" windowHeight="12330"/>
  </bookViews>
  <sheets>
    <sheet name="Лист1" sheetId="2" r:id="rId1"/>
    <sheet name="L2" sheetId="4" r:id="rId2"/>
    <sheet name="Функции" sheetId="10" r:id="rId3"/>
    <sheet name="Лист3" sheetId="3" r:id="rId4"/>
    <sheet name="Техника" sheetId="6" r:id="rId5"/>
    <sheet name="Датчики" sheetId="5" r:id="rId6"/>
    <sheet name="ЧП" sheetId="8" r:id="rId7"/>
    <sheet name="УР" sheetId="9" r:id="rId8"/>
    <sheet name="КИП" sheetId="7" r:id="rId9"/>
    <sheet name="Лист2" sheetId="11" r:id="rId10"/>
  </sheets>
  <definedNames>
    <definedName name="_xlnm.Print_Area" localSheetId="0">Лист1!$A$1:$Q$132</definedName>
  </definedNames>
  <calcPr calcId="145621"/>
</workbook>
</file>

<file path=xl/calcChain.xml><?xml version="1.0" encoding="utf-8"?>
<calcChain xmlns="http://schemas.openxmlformats.org/spreadsheetml/2006/main">
  <c r="B79" i="2" l="1"/>
  <c r="A7" i="4" l="1"/>
  <c r="U8" i="4" l="1"/>
  <c r="A8" i="4" s="1"/>
  <c r="K92" i="7" l="1"/>
  <c r="A92" i="7"/>
  <c r="K91" i="7"/>
  <c r="A91" i="7"/>
  <c r="K90" i="7"/>
  <c r="A90" i="7"/>
  <c r="K89" i="7"/>
  <c r="A89" i="7"/>
  <c r="K88" i="7"/>
  <c r="A88" i="7"/>
  <c r="K87" i="7"/>
  <c r="A87" i="7"/>
  <c r="K86" i="7"/>
  <c r="A86" i="7"/>
  <c r="K85" i="7"/>
  <c r="A85" i="7"/>
  <c r="K84" i="7"/>
  <c r="A84" i="7"/>
  <c r="K83" i="7"/>
  <c r="A83" i="7"/>
  <c r="K82" i="7"/>
  <c r="A82" i="7"/>
  <c r="K81" i="7"/>
  <c r="A81" i="7"/>
  <c r="K80" i="7"/>
  <c r="A80" i="7"/>
  <c r="K79" i="7"/>
  <c r="A79" i="7"/>
  <c r="K78" i="7"/>
  <c r="A78" i="7"/>
  <c r="K77" i="7"/>
  <c r="A77" i="7"/>
  <c r="K76" i="7"/>
  <c r="A76" i="7"/>
  <c r="K75" i="7"/>
  <c r="A75" i="7"/>
  <c r="K74" i="7"/>
  <c r="A74" i="7"/>
  <c r="K73" i="7"/>
  <c r="A73" i="7"/>
  <c r="K72" i="7"/>
  <c r="A72" i="7"/>
  <c r="K71" i="7"/>
  <c r="A71" i="7"/>
  <c r="K70" i="7"/>
  <c r="A70" i="7"/>
  <c r="K69" i="7"/>
  <c r="A69" i="7"/>
  <c r="K68" i="7"/>
  <c r="A68" i="7"/>
  <c r="K67" i="7"/>
  <c r="A67" i="7"/>
  <c r="K66" i="7"/>
  <c r="A66" i="7"/>
  <c r="K65" i="7"/>
  <c r="A65" i="7"/>
  <c r="K64" i="7"/>
  <c r="A64" i="7"/>
  <c r="K63" i="7"/>
  <c r="A63" i="7"/>
  <c r="K62" i="7"/>
  <c r="A62" i="7"/>
  <c r="K61" i="7"/>
  <c r="A61" i="7"/>
  <c r="K60" i="7"/>
  <c r="A60" i="7"/>
  <c r="K59" i="7"/>
  <c r="A59" i="7"/>
  <c r="K58" i="7"/>
  <c r="A58" i="7"/>
  <c r="K57" i="7"/>
  <c r="A57" i="7"/>
  <c r="K56" i="7"/>
  <c r="A56" i="7"/>
  <c r="K55" i="7"/>
  <c r="A55" i="7"/>
  <c r="K54" i="7"/>
  <c r="A54" i="7"/>
  <c r="K53" i="7"/>
  <c r="A53" i="7"/>
  <c r="K52" i="7"/>
  <c r="A52" i="7"/>
  <c r="K51" i="7"/>
  <c r="A51" i="7"/>
  <c r="K50" i="7"/>
  <c r="A50" i="7"/>
  <c r="K49" i="7"/>
  <c r="A49" i="7"/>
  <c r="K48" i="7"/>
  <c r="A48" i="7"/>
  <c r="K47" i="7"/>
  <c r="A47" i="7"/>
  <c r="K46" i="7"/>
  <c r="A46" i="7"/>
  <c r="K45" i="7"/>
  <c r="A45" i="7"/>
  <c r="K44" i="7"/>
  <c r="A44" i="7"/>
  <c r="K43" i="7"/>
  <c r="A43" i="7"/>
  <c r="K42" i="7"/>
  <c r="A42" i="7"/>
  <c r="K41" i="7"/>
  <c r="A41" i="7"/>
  <c r="K40" i="7"/>
  <c r="A40" i="7"/>
  <c r="K39" i="7"/>
  <c r="A39" i="7"/>
  <c r="K38" i="7"/>
  <c r="A38" i="7"/>
  <c r="K37" i="7"/>
  <c r="A37" i="7"/>
  <c r="K36" i="7"/>
  <c r="A36" i="7"/>
  <c r="K35" i="7"/>
  <c r="A35" i="7"/>
  <c r="K34" i="7"/>
  <c r="A34" i="7"/>
  <c r="K33" i="7"/>
  <c r="A33" i="7"/>
  <c r="K32" i="7"/>
  <c r="A32" i="7"/>
  <c r="K31" i="7"/>
  <c r="A31" i="7"/>
  <c r="K30" i="7"/>
  <c r="A30" i="7"/>
  <c r="K29" i="7"/>
  <c r="A29" i="7"/>
  <c r="K28" i="7"/>
  <c r="A28" i="7"/>
  <c r="K27" i="7"/>
  <c r="A27" i="7"/>
  <c r="K26" i="7"/>
  <c r="A26" i="7"/>
  <c r="K25" i="7"/>
  <c r="A25" i="7"/>
  <c r="K24" i="7"/>
  <c r="A24" i="7"/>
  <c r="K23" i="7"/>
  <c r="A23" i="7"/>
  <c r="K22" i="7"/>
  <c r="A22" i="7"/>
  <c r="K21" i="7"/>
  <c r="A21" i="7"/>
  <c r="K20" i="7"/>
  <c r="A20" i="7"/>
  <c r="K19" i="7"/>
  <c r="A19" i="7"/>
  <c r="K18" i="7"/>
  <c r="A18" i="7"/>
  <c r="K17" i="7"/>
  <c r="A17" i="7"/>
  <c r="K16" i="7"/>
  <c r="A16" i="7"/>
  <c r="K15" i="7"/>
  <c r="A15" i="7"/>
  <c r="K14" i="7"/>
  <c r="A14" i="7"/>
  <c r="K13" i="7"/>
  <c r="A13" i="7"/>
  <c r="K12" i="7"/>
  <c r="A12" i="7"/>
  <c r="K11" i="7"/>
  <c r="A11" i="7"/>
  <c r="K10" i="7"/>
  <c r="A10" i="7"/>
  <c r="K9" i="7"/>
  <c r="A9" i="7"/>
  <c r="K8" i="7"/>
  <c r="A8" i="7"/>
  <c r="K7" i="7"/>
  <c r="A7" i="7"/>
  <c r="K6" i="7"/>
  <c r="A6" i="7"/>
  <c r="K5" i="7"/>
  <c r="A5" i="7"/>
  <c r="K4" i="7"/>
  <c r="A4" i="7"/>
  <c r="K3" i="7"/>
  <c r="A3" i="7"/>
  <c r="AA2" i="7"/>
  <c r="Z2" i="7"/>
  <c r="Y2" i="7"/>
  <c r="X2" i="7"/>
  <c r="W2" i="7"/>
  <c r="V2" i="7"/>
  <c r="U2" i="7"/>
  <c r="T2" i="7"/>
  <c r="S2" i="7"/>
  <c r="R2" i="7"/>
  <c r="Q2" i="7"/>
  <c r="P2" i="7"/>
  <c r="AA1" i="7"/>
  <c r="Z1" i="7"/>
  <c r="Y1" i="7"/>
  <c r="X1" i="7"/>
  <c r="W1" i="7"/>
  <c r="V1" i="7"/>
  <c r="U1" i="7"/>
  <c r="T1" i="7"/>
  <c r="S1" i="7"/>
  <c r="R1" i="7"/>
  <c r="Q1" i="7"/>
  <c r="P1" i="7"/>
  <c r="O1" i="7"/>
  <c r="H91" i="7" s="1"/>
  <c r="N1" i="7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0" i="8"/>
  <c r="E19" i="8"/>
  <c r="E18" i="8"/>
  <c r="E17" i="8"/>
  <c r="E16" i="8"/>
  <c r="E15" i="8"/>
  <c r="E14" i="8"/>
  <c r="E13" i="8"/>
  <c r="E12" i="8"/>
  <c r="E11" i="8"/>
  <c r="E10" i="8"/>
  <c r="E9" i="8"/>
  <c r="E7" i="8"/>
  <c r="E6" i="8"/>
  <c r="E5" i="8"/>
  <c r="E4" i="8"/>
  <c r="E3" i="8"/>
  <c r="Y66" i="5"/>
  <c r="V66" i="5"/>
  <c r="U66" i="5"/>
  <c r="Q66" i="5"/>
  <c r="J66" i="5"/>
  <c r="B66" i="5"/>
  <c r="A66" i="5"/>
  <c r="I63" i="5"/>
  <c r="O1" i="5"/>
  <c r="I61" i="5" s="1"/>
  <c r="A74" i="6"/>
  <c r="S72" i="6"/>
  <c r="S69" i="6"/>
  <c r="S66" i="6"/>
  <c r="S65" i="6"/>
  <c r="S64" i="6"/>
  <c r="S63" i="6"/>
  <c r="S60" i="6"/>
  <c r="S59" i="6"/>
  <c r="S58" i="6"/>
  <c r="S57" i="6"/>
  <c r="S56" i="6"/>
  <c r="S55" i="6"/>
  <c r="S52" i="6"/>
  <c r="U51" i="6"/>
  <c r="U52" i="6" s="1"/>
  <c r="U55" i="6" s="1"/>
  <c r="U56" i="6" s="1"/>
  <c r="S51" i="6"/>
  <c r="U49" i="6"/>
  <c r="S49" i="6"/>
  <c r="B94" i="3"/>
  <c r="B84" i="3"/>
  <c r="E31" i="3"/>
  <c r="E20" i="3"/>
  <c r="E15" i="3"/>
  <c r="U5" i="4"/>
  <c r="A5" i="4"/>
  <c r="U2" i="4"/>
  <c r="A2" i="4" s="1"/>
  <c r="V125" i="2"/>
  <c r="R92" i="2"/>
  <c r="R93" i="2" s="1"/>
  <c r="R91" i="2" s="1"/>
  <c r="E92" i="2" s="1"/>
  <c r="R84" i="2"/>
  <c r="R83" i="2"/>
  <c r="X82" i="2"/>
  <c r="V82" i="2"/>
  <c r="S82" i="2"/>
  <c r="R82" i="2"/>
  <c r="B82" i="2"/>
  <c r="R81" i="2"/>
  <c r="R80" i="2"/>
  <c r="X79" i="2"/>
  <c r="V79" i="2"/>
  <c r="S79" i="2"/>
  <c r="R79" i="2"/>
  <c r="S78" i="2"/>
  <c r="R78" i="2"/>
  <c r="B78" i="2"/>
  <c r="R77" i="2"/>
  <c r="R76" i="2"/>
  <c r="X75" i="2"/>
  <c r="V75" i="2"/>
  <c r="S75" i="2"/>
  <c r="R75" i="2"/>
  <c r="B75" i="2"/>
  <c r="V74" i="2"/>
  <c r="R74" i="2"/>
  <c r="S73" i="2"/>
  <c r="R73" i="2"/>
  <c r="S72" i="2"/>
  <c r="R72" i="2"/>
  <c r="R71" i="2"/>
  <c r="R70" i="2"/>
  <c r="X69" i="2"/>
  <c r="V69" i="2"/>
  <c r="S69" i="2"/>
  <c r="R69" i="2"/>
  <c r="S68" i="2"/>
  <c r="R68" i="2"/>
  <c r="R67" i="2"/>
  <c r="R66" i="2"/>
  <c r="X65" i="2"/>
  <c r="V65" i="2"/>
  <c r="S65" i="2"/>
  <c r="R65" i="2"/>
  <c r="R64" i="2"/>
  <c r="R63" i="2"/>
  <c r="X62" i="2"/>
  <c r="V62" i="2"/>
  <c r="S62" i="2"/>
  <c r="R62" i="2"/>
  <c r="B62" i="2"/>
  <c r="R61" i="2"/>
  <c r="R60" i="2"/>
  <c r="X59" i="2"/>
  <c r="V59" i="2"/>
  <c r="S59" i="2"/>
  <c r="R59" i="2"/>
  <c r="B59" i="2"/>
  <c r="R58" i="2"/>
  <c r="R57" i="2"/>
  <c r="X56" i="2"/>
  <c r="V56" i="2"/>
  <c r="S56" i="2"/>
  <c r="R56" i="2"/>
  <c r="B56" i="2"/>
  <c r="R55" i="2"/>
  <c r="R54" i="2"/>
  <c r="Y53" i="2"/>
  <c r="W53" i="2"/>
  <c r="S53" i="2"/>
  <c r="R53" i="2"/>
  <c r="R52" i="2"/>
  <c r="R51" i="2"/>
  <c r="X50" i="2"/>
  <c r="V50" i="2"/>
  <c r="S50" i="2"/>
  <c r="R50" i="2"/>
  <c r="B50" i="2"/>
  <c r="R49" i="2"/>
  <c r="R48" i="2"/>
  <c r="X47" i="2"/>
  <c r="V47" i="2"/>
  <c r="S47" i="2"/>
  <c r="R47" i="2"/>
  <c r="B47" i="2"/>
  <c r="S46" i="2"/>
  <c r="R46" i="2"/>
  <c r="S45" i="2"/>
  <c r="R45" i="2"/>
  <c r="R44" i="2"/>
  <c r="J44" i="2"/>
  <c r="S43" i="2"/>
  <c r="R43" i="2"/>
  <c r="J43" i="2"/>
  <c r="R42" i="2"/>
  <c r="R41" i="2"/>
  <c r="X40" i="2"/>
  <c r="V40" i="2"/>
  <c r="S40" i="2"/>
  <c r="R40" i="2"/>
  <c r="B40" i="2"/>
  <c r="R39" i="2"/>
  <c r="R38" i="2"/>
  <c r="X37" i="2"/>
  <c r="V37" i="2"/>
  <c r="S37" i="2"/>
  <c r="R37" i="2"/>
  <c r="B37" i="2"/>
  <c r="V36" i="2"/>
  <c r="R36" i="2"/>
  <c r="X35" i="2"/>
  <c r="S35" i="2"/>
  <c r="R35" i="2"/>
  <c r="L27" i="2"/>
  <c r="A55" i="6" l="1"/>
  <c r="U57" i="6"/>
  <c r="U70" i="2"/>
  <c r="U66" i="2"/>
  <c r="U84" i="2"/>
  <c r="U71" i="2"/>
  <c r="U83" i="2"/>
  <c r="U67" i="2"/>
  <c r="U63" i="2"/>
  <c r="U64" i="2"/>
  <c r="U60" i="2"/>
  <c r="U61" i="2"/>
  <c r="U79" i="2"/>
  <c r="A79" i="2" s="1"/>
  <c r="U57" i="2"/>
  <c r="U58" i="2"/>
  <c r="U40" i="2"/>
  <c r="A40" i="2" s="1"/>
  <c r="U47" i="2"/>
  <c r="A47" i="2" s="1"/>
  <c r="U68" i="2"/>
  <c r="A68" i="2" s="1"/>
  <c r="U82" i="2"/>
  <c r="A82" i="2" s="1"/>
  <c r="U62" i="2"/>
  <c r="A62" i="2" s="1"/>
  <c r="U69" i="2"/>
  <c r="A69" i="2" s="1"/>
  <c r="U43" i="2"/>
  <c r="A43" i="2" s="1"/>
  <c r="U50" i="2"/>
  <c r="A50" i="2" s="1"/>
  <c r="U53" i="2"/>
  <c r="A53" i="2" s="1"/>
  <c r="U59" i="2"/>
  <c r="A59" i="2" s="1"/>
  <c r="U75" i="2"/>
  <c r="A75" i="2" s="1"/>
  <c r="U56" i="2"/>
  <c r="A56" i="2" s="1"/>
  <c r="U65" i="2"/>
  <c r="A65" i="2" s="1"/>
  <c r="U72" i="2"/>
  <c r="A72" i="2" s="1"/>
  <c r="U73" i="2"/>
  <c r="A73" i="2" s="1"/>
  <c r="U78" i="2"/>
  <c r="A78" i="2" s="1"/>
  <c r="U35" i="2"/>
  <c r="A35" i="2" s="1"/>
  <c r="U37" i="2"/>
  <c r="A37" i="2" s="1"/>
  <c r="U45" i="2"/>
  <c r="A45" i="2" s="1"/>
  <c r="U46" i="2"/>
  <c r="A46" i="2" s="1"/>
  <c r="I22" i="5"/>
  <c r="H3" i="7"/>
  <c r="H7" i="7"/>
  <c r="H10" i="7"/>
  <c r="H17" i="7"/>
  <c r="H21" i="7"/>
  <c r="H27" i="7"/>
  <c r="H31" i="7"/>
  <c r="H35" i="7"/>
  <c r="H40" i="7"/>
  <c r="H47" i="7"/>
  <c r="H54" i="7"/>
  <c r="H58" i="7"/>
  <c r="H65" i="7"/>
  <c r="H69" i="7"/>
  <c r="H73" i="7"/>
  <c r="H79" i="7"/>
  <c r="H85" i="7"/>
  <c r="I10" i="5"/>
  <c r="I18" i="5"/>
  <c r="I30" i="5"/>
  <c r="I58" i="5"/>
  <c r="I3" i="5"/>
  <c r="I7" i="5"/>
  <c r="I11" i="5"/>
  <c r="I15" i="5"/>
  <c r="I19" i="5"/>
  <c r="I23" i="5"/>
  <c r="I27" i="5"/>
  <c r="I31" i="5"/>
  <c r="I35" i="5"/>
  <c r="I39" i="5"/>
  <c r="I43" i="5"/>
  <c r="I47" i="5"/>
  <c r="I51" i="5"/>
  <c r="I55" i="5"/>
  <c r="I59" i="5"/>
  <c r="H6" i="7"/>
  <c r="H9" i="7"/>
  <c r="H16" i="7"/>
  <c r="H20" i="7"/>
  <c r="H26" i="7"/>
  <c r="H30" i="7"/>
  <c r="H34" i="7"/>
  <c r="H39" i="7"/>
  <c r="H43" i="7"/>
  <c r="H46" i="7"/>
  <c r="H50" i="7"/>
  <c r="H53" i="7"/>
  <c r="H57" i="7"/>
  <c r="H64" i="7"/>
  <c r="H68" i="7"/>
  <c r="H72" i="7"/>
  <c r="H78" i="7"/>
  <c r="H84" i="7"/>
  <c r="I6" i="5"/>
  <c r="I14" i="5"/>
  <c r="I26" i="5"/>
  <c r="I34" i="5"/>
  <c r="I38" i="5"/>
  <c r="I42" i="5"/>
  <c r="I46" i="5"/>
  <c r="I50" i="5"/>
  <c r="I54" i="5"/>
  <c r="I62" i="5"/>
  <c r="I4" i="5"/>
  <c r="I8" i="5"/>
  <c r="I12" i="5"/>
  <c r="I16" i="5"/>
  <c r="I20" i="5"/>
  <c r="I24" i="5"/>
  <c r="I28" i="5"/>
  <c r="I32" i="5"/>
  <c r="I36" i="5"/>
  <c r="I40" i="5"/>
  <c r="I44" i="5"/>
  <c r="I48" i="5"/>
  <c r="I52" i="5"/>
  <c r="I56" i="5"/>
  <c r="I60" i="5"/>
  <c r="H5" i="7"/>
  <c r="H12" i="7"/>
  <c r="H15" i="7"/>
  <c r="H19" i="7"/>
  <c r="H23" i="7"/>
  <c r="H29" i="7"/>
  <c r="H33" i="7"/>
  <c r="H42" i="7"/>
  <c r="H45" i="7"/>
  <c r="H49" i="7"/>
  <c r="H52" i="7"/>
  <c r="H56" i="7"/>
  <c r="H60" i="7"/>
  <c r="H63" i="7"/>
  <c r="H67" i="7"/>
  <c r="H71" i="7"/>
  <c r="H77" i="7"/>
  <c r="H83" i="7"/>
  <c r="H87" i="7"/>
  <c r="H92" i="7"/>
  <c r="I5" i="5"/>
  <c r="I9" i="5"/>
  <c r="W66" i="5" s="1"/>
  <c r="I13" i="5"/>
  <c r="I17" i="5"/>
  <c r="I21" i="5"/>
  <c r="I25" i="5"/>
  <c r="I29" i="5"/>
  <c r="I33" i="5"/>
  <c r="I37" i="5"/>
  <c r="I41" i="5"/>
  <c r="I45" i="5"/>
  <c r="I49" i="5"/>
  <c r="I53" i="5"/>
  <c r="I57" i="5"/>
  <c r="H4" i="7"/>
  <c r="H11" i="7"/>
  <c r="H14" i="7"/>
  <c r="H18" i="7"/>
  <c r="H22" i="7"/>
  <c r="H28" i="7"/>
  <c r="H32" i="7"/>
  <c r="H41" i="7"/>
  <c r="H48" i="7"/>
  <c r="H55" i="7"/>
  <c r="H59" i="7"/>
  <c r="H62" i="7"/>
  <c r="H66" i="7"/>
  <c r="H70" i="7"/>
  <c r="H76" i="7"/>
  <c r="H82" i="7"/>
  <c r="H86" i="7"/>
  <c r="U58" i="6" l="1"/>
  <c r="A56" i="6"/>
  <c r="U59" i="6" l="1"/>
  <c r="A57" i="6"/>
  <c r="U60" i="6" l="1"/>
  <c r="A58" i="6"/>
  <c r="A59" i="6" l="1"/>
  <c r="U63" i="6"/>
  <c r="U64" i="6" l="1"/>
  <c r="A62" i="6"/>
  <c r="U65" i="6" l="1"/>
  <c r="A63" i="6"/>
  <c r="U66" i="6" l="1"/>
  <c r="A64" i="6"/>
  <c r="A65" i="6" l="1"/>
  <c r="U69" i="6"/>
  <c r="U72" i="6" l="1"/>
  <c r="A71" i="6" s="1"/>
  <c r="A68" i="6"/>
</calcChain>
</file>

<file path=xl/sharedStrings.xml><?xml version="1.0" encoding="utf-8"?>
<sst xmlns="http://schemas.openxmlformats.org/spreadsheetml/2006/main" count="1780" uniqueCount="987">
  <si>
    <t>1 – совмещает силовую часть и цепь управления</t>
  </si>
  <si>
    <t>2 – панель управления (силовая часть отсутствует)</t>
  </si>
  <si>
    <t>3 – силовой шкаф (приборы ПЛК отсутствуют)</t>
  </si>
  <si>
    <t>4 – кроссовый шкаф с модулями ввода/вывода и связи без CPU и силовой части</t>
  </si>
  <si>
    <t>0 – общепромышленное, стандартное исполнение</t>
  </si>
  <si>
    <t>1 – исполнение с повышенным гигиеническим требованием</t>
  </si>
  <si>
    <t>3 – морские исполнения в том числе шельфы</t>
  </si>
  <si>
    <t>4 – исполнение для метрополитена</t>
  </si>
  <si>
    <t>2 – резерв</t>
  </si>
  <si>
    <t>5 – резерв</t>
  </si>
  <si>
    <t>6 – исполнение для АЭС</t>
  </si>
  <si>
    <t>7 – резерв</t>
  </si>
  <si>
    <t>8 – специальное исполнение (нефтегазовая промышленность, месторождения)</t>
  </si>
  <si>
    <t>9 – резерв</t>
  </si>
  <si>
    <t>1 – листовая сталь окрашенная</t>
  </si>
  <si>
    <t>2 – пластик</t>
  </si>
  <si>
    <t>3 – алюминий</t>
  </si>
  <si>
    <t>4 – нержавеющая сталь</t>
  </si>
  <si>
    <t>5 – в соответствии с маркировкой Ex (пункт №8)</t>
  </si>
  <si>
    <t>6 – композитные материалы</t>
  </si>
  <si>
    <t>В</t>
  </si>
  <si>
    <t>0 - отсутствует</t>
  </si>
  <si>
    <t>0 - без нагрева</t>
  </si>
  <si>
    <t>1 - Жидкостный нагреватель</t>
  </si>
  <si>
    <t>2 - Электрический нагреватель</t>
  </si>
  <si>
    <t>3 -  Паровой нагреватель</t>
  </si>
  <si>
    <t>1 - Фреоновый охладитель</t>
  </si>
  <si>
    <t>2 - Жидкостный охладитель</t>
  </si>
  <si>
    <t xml:space="preserve">0 - без охладителя </t>
  </si>
  <si>
    <t>0 - без увлажнения</t>
  </si>
  <si>
    <t>1 - Пароувлажнитель</t>
  </si>
  <si>
    <t>2 - Сотовый или форсуночный увлажнитель</t>
  </si>
  <si>
    <t>2 - Предварительный нагрев (жидкостный)</t>
  </si>
  <si>
    <t>1 - Рециркуляция</t>
  </si>
  <si>
    <t>1 – АВР отсутствует (один ввод питания), без требования самозапуска по исчезновению питания. Для систем с водяным нагревом всегда есть отдельный ввод питания, для цепей защиты теплообменника;</t>
  </si>
  <si>
    <t>2 - АВР отсутствует (один ввод питания) + ИБП, без требования самозапуска по исчезновению питания;</t>
  </si>
  <si>
    <t>4 – АВР отсутствует (один ввод питания) + ИБП с требования самозапуска по исчезновению питания;</t>
  </si>
  <si>
    <t>7 – АВР по питанию с двумя секциями шин (с секционированием);</t>
  </si>
  <si>
    <t>8 – АВР по питанию с двумя секциями шин (с секционированием) + ИБП;</t>
  </si>
  <si>
    <t>9 – Категория электроснабжения, наличие АВР, схема АВР по заданию от заказчика.</t>
  </si>
  <si>
    <t>0 - внутри помещения</t>
  </si>
  <si>
    <t>N - уличное</t>
  </si>
  <si>
    <t>N</t>
  </si>
  <si>
    <t>SA – Safe area взрывобезопасная зона размещения шкафа;</t>
  </si>
  <si>
    <t>SA</t>
  </si>
  <si>
    <t>Ex – Шкаф размещен во взрывоопасной зоне.</t>
  </si>
  <si>
    <t>Ex</t>
  </si>
  <si>
    <t>I</t>
  </si>
  <si>
    <t xml:space="preserve"> - ФС согласно технического задания</t>
  </si>
  <si>
    <t xml:space="preserve"> - Приточная установка </t>
  </si>
  <si>
    <t xml:space="preserve"> - Приточно-вытяжная установка </t>
  </si>
  <si>
    <t>1- Приточная установка без резерва вентилятора</t>
  </si>
  <si>
    <t xml:space="preserve"> - Нагрев приточного воздуха жидкостным нагревателем</t>
  </si>
  <si>
    <t xml:space="preserve"> - Нагрев приточного воздуха электронагревателем</t>
  </si>
  <si>
    <t xml:space="preserve"> - Нагрев приточного воздуха паронагревателем</t>
  </si>
  <si>
    <t xml:space="preserve"> - Без нагрева приточного воздуха жидкостным или электрическим нагревателем</t>
  </si>
  <si>
    <t xml:space="preserve"> - Без предварительного нагрева приточного воздуха, без рециркуляции</t>
  </si>
  <si>
    <t xml:space="preserve"> - Рециркуляция</t>
  </si>
  <si>
    <t xml:space="preserve"> - Предварительный нагрев приточного воздуха жидкостным нагревателем</t>
  </si>
  <si>
    <t xml:space="preserve"> - Пароувлажнитель не подключается</t>
  </si>
  <si>
    <t xml:space="preserve"> - Пароувлажнитель</t>
  </si>
  <si>
    <t xml:space="preserve"> - Сотовый или форсуночный увлажнитель</t>
  </si>
  <si>
    <t xml:space="preserve"> - Жидкостный охладитель</t>
  </si>
  <si>
    <t>1 – Совмещает силовую часть и цепь управления</t>
  </si>
  <si>
    <t>2 – Панель управления (силовая часть отсутствует)</t>
  </si>
  <si>
    <t>3 – Силовой шкаф (приборы ПЛК отсутствуют)</t>
  </si>
  <si>
    <t>4 – Кроссовый шкаф с модулями ввода/вывода и связи без CPU и силовой части</t>
  </si>
  <si>
    <t xml:space="preserve">1 - TN-S </t>
  </si>
  <si>
    <t>2 - IT</t>
  </si>
  <si>
    <t>взрывобезопасная зона размещения шкафа;</t>
  </si>
  <si>
    <t>шкаф размещен во взрывоопасной зоне.</t>
  </si>
  <si>
    <t>№ П/П</t>
  </si>
  <si>
    <t>Наименование</t>
  </si>
  <si>
    <t>Значение</t>
  </si>
  <si>
    <t>Установочная мощность ввода силовой цепи, N (кВт)</t>
  </si>
  <si>
    <t>Количество вводов силовой цепи</t>
  </si>
  <si>
    <t>380+N+PE</t>
  </si>
  <si>
    <t>220+N+PE</t>
  </si>
  <si>
    <t xml:space="preserve">Количество вводов питания цепей управления и защиты от заморозки </t>
  </si>
  <si>
    <t>отсутствует</t>
  </si>
  <si>
    <t>Установочная мощность ввода цепи управления и защиты от заморозки, N (кВт)</t>
  </si>
  <si>
    <t>Номинальное рабочее напряжение цепей управления и защиты от заморозки (В)</t>
  </si>
  <si>
    <t>Контроллер (ПЛК)</t>
  </si>
  <si>
    <t>CAREL c.pCO</t>
  </si>
  <si>
    <t>ОВЕН</t>
  </si>
  <si>
    <t>SIEMENS CLIMATIC</t>
  </si>
  <si>
    <t>SIEMENS SIMATIC S-7</t>
  </si>
  <si>
    <t>Zentec</t>
  </si>
  <si>
    <t>Segnetics Pixel</t>
  </si>
  <si>
    <t>Segnetics SMH4</t>
  </si>
  <si>
    <t>Условия эксплуатации согласно ГОСТ 15150-69</t>
  </si>
  <si>
    <t>УХЛ4, ТС4</t>
  </si>
  <si>
    <t>Температура эксплуатации (С°)</t>
  </si>
  <si>
    <t>У3</t>
  </si>
  <si>
    <t>У1, У2</t>
  </si>
  <si>
    <t>-45…+40</t>
  </si>
  <si>
    <t>Степень защиты корпуса по ГОСТ 14254-2015 (IP)</t>
  </si>
  <si>
    <t>IP54</t>
  </si>
  <si>
    <t>Сторона подвода кабельных линий к шкафу</t>
  </si>
  <si>
    <t>Сверху</t>
  </si>
  <si>
    <t>Снизу</t>
  </si>
  <si>
    <t>Доп. требования</t>
  </si>
  <si>
    <t>Пластиковые гермовводы типа PG</t>
  </si>
  <si>
    <t>Металлические гермовводы (латунь)</t>
  </si>
  <si>
    <t>Прямой</t>
  </si>
  <si>
    <t>Звезда- треугольник</t>
  </si>
  <si>
    <t>С использованием ПЧ</t>
  </si>
  <si>
    <t>Вне шкафа (проходят отдельной строкой в счете)</t>
  </si>
  <si>
    <t>Внутри шкафа (входят в стоимость комплекта автоматики)</t>
  </si>
  <si>
    <t>Софт-стартер (УПП)</t>
  </si>
  <si>
    <t>Без ПЧ, софт-стартера (УПП)</t>
  </si>
  <si>
    <t>Габаритные размеры шкафа, мм</t>
  </si>
  <si>
    <t>Определяет завод- изготовитель</t>
  </si>
  <si>
    <t>1 - TN-S - (стандарт) питание  L1+L2+L3+N+PE</t>
  </si>
  <si>
    <t>2 - IT - (изолированная нейтраль) питание L1+L2+L3</t>
  </si>
  <si>
    <t>Металлические гермовводы (нерж.сталь.)</t>
  </si>
  <si>
    <t>Металлические гермовводы (взрывозащита.)</t>
  </si>
  <si>
    <t>ОВЕН РТ-50-11,5</t>
  </si>
  <si>
    <t>любой / релейная схема</t>
  </si>
  <si>
    <t>KP61-11,5</t>
  </si>
  <si>
    <t>РД50-ДИ0,75</t>
  </si>
  <si>
    <t>Защита циркуляционного насоса от сухого хода</t>
  </si>
  <si>
    <t>Диапазон задаваемой уставки давления 0…0,75 Мпа</t>
  </si>
  <si>
    <t>KPI35</t>
  </si>
  <si>
    <t>Диапазон задаваемой уставки давления 
-0,2…8 бар
(-0,02…0,8 МПа)</t>
  </si>
  <si>
    <t>RAA31</t>
  </si>
  <si>
    <t>Контроль температуры в помещении</t>
  </si>
  <si>
    <t>TRG2</t>
  </si>
  <si>
    <t>TRG22</t>
  </si>
  <si>
    <t>THERMASREG 
RTR-B-721</t>
  </si>
  <si>
    <t xml:space="preserve">
QFA1001</t>
  </si>
  <si>
    <t>Контроль влажности в помещении</t>
  </si>
  <si>
    <t>HYGRASREG® 
RH-2-BD2</t>
  </si>
  <si>
    <t>ОВЕН ДТС3225-РТ1000.В2</t>
  </si>
  <si>
    <t>Защита от заморозки по воде</t>
  </si>
  <si>
    <t>pt1000</t>
  </si>
  <si>
    <t>THERMASGARD
ALTF 2 Pt1000</t>
  </si>
  <si>
    <t>QAD2030</t>
  </si>
  <si>
    <t>NTC 10k</t>
  </si>
  <si>
    <t>THERMASGARD
ALTF2 NTC10K</t>
  </si>
  <si>
    <t>Наименование в БЗ/КП/Счете</t>
  </si>
  <si>
    <t>Маркировка</t>
  </si>
  <si>
    <t>цена с НДС</t>
  </si>
  <si>
    <t>Возможное функциональное назначение, перечесление</t>
  </si>
  <si>
    <t>Применяемость к контроллеру</t>
  </si>
  <si>
    <t>Срок поставки, рабочих дней</t>
  </si>
  <si>
    <t>Курс Евро</t>
  </si>
  <si>
    <t>ЕВРО</t>
  </si>
  <si>
    <t>РУБ</t>
  </si>
  <si>
    <t>Прмиечание</t>
  </si>
  <si>
    <t>Максимальный перепад давления 10кПа
штуцеры Ø 6 мм
Трубка 1,5м</t>
  </si>
  <si>
    <t>PREMASREG
DS-205 F
(20…300Па)</t>
  </si>
  <si>
    <t>Максимальный перепад давления 5кПа
штуцеры Ø 6 мм
Трубка 2м</t>
  </si>
  <si>
    <t>ОВЕН РД30-ДД1000 
(200…1000Па)</t>
  </si>
  <si>
    <t>PREMASREG 
DS-205 D
(100…1000Па)</t>
  </si>
  <si>
    <t>PREMASREG® 
DS-205 B
(50…500Па)</t>
  </si>
  <si>
    <t>ОВЕН РТ-50-3</t>
  </si>
  <si>
    <t>KP61-3</t>
  </si>
  <si>
    <t>ОВЕН РТ-50-6</t>
  </si>
  <si>
    <t>KP61-6</t>
  </si>
  <si>
    <t>Датчик-реле перепада давления, с комплектом монтажных частей, контроль запыленности фильтра</t>
  </si>
  <si>
    <t>ОВЕН РД30-ДД400 (40…400 Па)</t>
  </si>
  <si>
    <t>Датчик-реле перепада давления, с комплектом монтажных частей, контроль работы вентилятора</t>
  </si>
  <si>
    <t>Датчик-реле перепада давления, с комплектом монтажных частей, контроль обмерзания рекуператора</t>
  </si>
  <si>
    <t>Каналка</t>
  </si>
  <si>
    <t>Капиллярный термостат, с комплектом монтажных частей (длина капиллярной линии 3 м), защита теплообменника от заморозки по воздуху</t>
  </si>
  <si>
    <t>Капиллярный термостат, с комплектом монтажных частей (длина капиллярной линии 11,5 м), защита теплообменника от заморозки по воздуху</t>
  </si>
  <si>
    <t>Капиллярный термостат, с комплектом монтажных частей (длина капиллярной линии 6 м), защита теплообменника от заморозки по воздуху</t>
  </si>
  <si>
    <t>Реле давления, защита циркуляционного насоса от сухого хода</t>
  </si>
  <si>
    <t>Комнатный термостат, контроль температуры в помещении</t>
  </si>
  <si>
    <t>Комнатный гигростат, контроль влажности в помещении</t>
  </si>
  <si>
    <t>Датчик температуры обратного теплоносителя, накладной в комплекте с хомутом и термопастой, защита от заморозки по воде</t>
  </si>
  <si>
    <t>ОВЕН ДТС3015-РТ1000.В2.320</t>
  </si>
  <si>
    <t>Измерение температуры канального воздуха. Измерение температуры наружного воздуха. Измерение температуры вытяжного воздуха. Измерение температуры в точке смеси.</t>
  </si>
  <si>
    <t>ОВЕН ПР 200. Carel c.pCOmini. Danfoss MCX. Segnetics PIXEL. Segnetics SMH. Siemens Climatix</t>
  </si>
  <si>
    <t>THERMASGARD
TF65 Pt1000 400mm</t>
  </si>
  <si>
    <t>MBT3280 (097U0112)</t>
  </si>
  <si>
    <t>THERMASGARD 
TF65 NTC10K 400mm</t>
  </si>
  <si>
    <t>ОВЕН ДТС125Л-РТ1000.В2.60</t>
  </si>
  <si>
    <t xml:space="preserve">Измерение температуры воздуха в помещении. Измерение температуры воздуха на улице. </t>
  </si>
  <si>
    <t>THERMASGARD® 
RTF1 Pt1000</t>
  </si>
  <si>
    <t xml:space="preserve">Измерение температуры воздуха в помещении. </t>
  </si>
  <si>
    <t>QAA2030</t>
  </si>
  <si>
    <t>THERMASGARD
RTF1 NTC 10k</t>
  </si>
  <si>
    <t>THERMASGARD 
ATF 2 Pt1000</t>
  </si>
  <si>
    <t xml:space="preserve">Измерение температуры воздуха на улице. </t>
  </si>
  <si>
    <t>QAC2030</t>
  </si>
  <si>
    <t>THERMASGARD
ATF2 NTC10K</t>
  </si>
  <si>
    <t>ОВЕН ПВТ100-Н4.2.И.</t>
  </si>
  <si>
    <t>Измерение температуры и влажности в помещении</t>
  </si>
  <si>
    <t>2 канала 4…20мА + RS-485</t>
  </si>
  <si>
    <t>HYGRASGARD® 
RFTF-I</t>
  </si>
  <si>
    <t>2 канала 4…20мА</t>
  </si>
  <si>
    <t>ОВЕН ПВТ100-К1.2.И.</t>
  </si>
  <si>
    <t>Измерение температуры и влажности в канале</t>
  </si>
  <si>
    <t>HYGRASGARD 
KFTF-SD-I</t>
  </si>
  <si>
    <t>Канальный датчик температуры воздуха с комплектом монтажных частей, измерение температуры приточного воздуха</t>
  </si>
  <si>
    <t>Канальный датчик температуры воздуха с комплектом монтажных частей, измерение температуры наружного воздуха</t>
  </si>
  <si>
    <t>Канальный датчик температуры воздуха с комплектом монтажных частей, измерение температуры вытяжного воздуха</t>
  </si>
  <si>
    <t>Канальный датчик температуры воздуха с комплектом монтажных частей, измерение температуры в точке смеси</t>
  </si>
  <si>
    <t>Настенный датчик температуры воздуха, с комплектом монтажных частей, измерение температуры воздуха в помещении</t>
  </si>
  <si>
    <t xml:space="preserve">Настенный датчик температуры воздуха, с комплектом монтажных частей, измерение температуры воздуха в помещении </t>
  </si>
  <si>
    <t>Настенный датчик температуры воздуха, с комплектом монтажных частей, измерение температуры наружного воздуха</t>
  </si>
  <si>
    <t>Настенный  датчик температуры и влажности воздуха с комплектом монтажных частей, измерение температуры и влажности в помещении</t>
  </si>
  <si>
    <t>Канальный  датчик температуры и влажности воздуха с комплектом монтажных частей, измерение температуры и влажности в помещении</t>
  </si>
  <si>
    <t>4.1.</t>
  </si>
  <si>
    <t>.</t>
  </si>
  <si>
    <t>Базовый №1</t>
  </si>
  <si>
    <t>4 - Приточно-вытяжная установка без резерва вентиляторов</t>
  </si>
  <si>
    <t xml:space="preserve"> - Приточная установка с основным/резервным  вентилятором</t>
  </si>
  <si>
    <t xml:space="preserve"> - Приточная установка с основным/резервным двигателем вентилятора</t>
  </si>
  <si>
    <t>3 - Приточная установка, осн/рез двигатель вентилятора</t>
  </si>
  <si>
    <t>2 - Приточная установка, осн/рез  вентилятор</t>
  </si>
  <si>
    <t>5 - Приточно- вытяжная, осн/рез  вентилятор</t>
  </si>
  <si>
    <t>6 -Приточно-вытяжная, осн/рез двигатель вентилятора</t>
  </si>
  <si>
    <t xml:space="preserve"> - Приточно- вытяжная установка с основным/резервным вентиляторами</t>
  </si>
  <si>
    <t xml:space="preserve"> - Приточно- вытяжная установка с основным/резервным двигателями вентиляторов</t>
  </si>
  <si>
    <t>Подбор КИП</t>
  </si>
  <si>
    <t>расчет капилляра термостата</t>
  </si>
  <si>
    <t>Высота ТО, м</t>
  </si>
  <si>
    <t>Ширина ТО, м</t>
  </si>
  <si>
    <t>Измерение температуры канального воздуха после рекуператора</t>
  </si>
  <si>
    <t>Канальный датчик температуры воздуха с комплектом монтажных частей, измерение температуры после рекуператора</t>
  </si>
  <si>
    <t>+1…+40</t>
  </si>
  <si>
    <t>термостат 1</t>
  </si>
  <si>
    <t>термостат 2</t>
  </si>
  <si>
    <t>количество</t>
  </si>
  <si>
    <t>1 - Жидкостный рекуператор</t>
  </si>
  <si>
    <t>2 - Пластинчатый рекуператор с байпасом</t>
  </si>
  <si>
    <t>2 - Пластинчатый рекуператор без байпаса</t>
  </si>
  <si>
    <t>3 - Роторный рекуператор</t>
  </si>
  <si>
    <t xml:space="preserve"> - Без рекуператора</t>
  </si>
  <si>
    <t xml:space="preserve"> - Пластинчатый рекуператор с байпасом</t>
  </si>
  <si>
    <t xml:space="preserve"> - Пластинчатый рекуператор без байпаса</t>
  </si>
  <si>
    <t xml:space="preserve"> - Роторный рекуператор</t>
  </si>
  <si>
    <t>10 -  Вытяжной вентилятор - 4 шт.</t>
  </si>
  <si>
    <t xml:space="preserve"> -  Вытяжной вентилятор - 1 шт.</t>
  </si>
  <si>
    <t>7 -  Вытяжной вентилятор - 1 шт.</t>
  </si>
  <si>
    <t>8 -  Вытяжной вентилятор - 2 шт.</t>
  </si>
  <si>
    <t>9 -  Вытяжной вентилятор - 3 шт.</t>
  </si>
  <si>
    <t>11 -  Вытяжной вентилятор - 5 шт.</t>
  </si>
  <si>
    <t>12 -  Вытяжной вентилятор - 6 шт.</t>
  </si>
  <si>
    <t>13 -  Вытяжной вентилятор - 7 шт.</t>
  </si>
  <si>
    <t>14 -  Вытяжной вентилятор - 8 шт.</t>
  </si>
  <si>
    <t>15 -  Вытяжной вентилятор - 9 шт.</t>
  </si>
  <si>
    <t>16 -  Вытяжной вентилятор - 10 шт.</t>
  </si>
  <si>
    <t xml:space="preserve"> -  Вытяжной вентилятор - 2 шт.</t>
  </si>
  <si>
    <t xml:space="preserve"> -  Вытяжной вентилятор - 3 шт.</t>
  </si>
  <si>
    <t xml:space="preserve"> -  Вытяжной вентилятор - 4 шт.</t>
  </si>
  <si>
    <t xml:space="preserve"> -  Вытяжной вентилятор - 5 шт.</t>
  </si>
  <si>
    <t xml:space="preserve"> -  Вытяжной вентилятор - 6 шт.</t>
  </si>
  <si>
    <t xml:space="preserve"> -  Вытяжной вентилятор - 7 шт.</t>
  </si>
  <si>
    <t xml:space="preserve"> -  Вытяжной вентилятор - 8 шт.</t>
  </si>
  <si>
    <t xml:space="preserve"> -  Вытяжной вентилятор - 9 шт.</t>
  </si>
  <si>
    <t xml:space="preserve"> -  Вытяжной вентилятор - 10 шт.</t>
  </si>
  <si>
    <t xml:space="preserve"> - Фреоновый охладитель не подключается</t>
  </si>
  <si>
    <t xml:space="preserve"> - Фреоновый охладитель</t>
  </si>
  <si>
    <t>нет</t>
  </si>
  <si>
    <t>канальный</t>
  </si>
  <si>
    <t>настенный</t>
  </si>
  <si>
    <t>Канальный датчик температуры воздуха с комплектом монтажных частей, измерение температуры приточного воздуха. Предварительный нагреватель</t>
  </si>
  <si>
    <t>№ п/п</t>
  </si>
  <si>
    <t>Марка</t>
  </si>
  <si>
    <t>шт.</t>
  </si>
  <si>
    <t>Характеристики</t>
  </si>
  <si>
    <t>Привод клапана обводного канала рекуператора</t>
  </si>
  <si>
    <t>A.010.N.04L(S)</t>
  </si>
  <si>
    <t>A.010.N.08L(S)</t>
  </si>
  <si>
    <t>A.010.N.16L(S)</t>
  </si>
  <si>
    <t>A.010.N.24L(S)</t>
  </si>
  <si>
    <t>A.010.N.32L(S)</t>
  </si>
  <si>
    <t>A.010.S.05L(S)</t>
  </si>
  <si>
    <t>A.010.S.10L(S)</t>
  </si>
  <si>
    <t>A.010.S.15L(S)</t>
  </si>
  <si>
    <t>A.2x.S.05L(S)</t>
  </si>
  <si>
    <t>A.2x.S.10L(S)</t>
  </si>
  <si>
    <t>A.2x.S.15L(S)</t>
  </si>
  <si>
    <t>A.2xE.S.05L(S)</t>
  </si>
  <si>
    <t>A.2xE.S.10L(S)</t>
  </si>
  <si>
    <t>A.2xE.S.15L(S)</t>
  </si>
  <si>
    <t>A.3x.N.02L(S)</t>
  </si>
  <si>
    <t>A.3x.N.04L(S)</t>
  </si>
  <si>
    <t>A.3x.N.08L(S)</t>
  </si>
  <si>
    <t>A.3x.N.16L(S)</t>
  </si>
  <si>
    <t>A.3x.N.24L(S)</t>
  </si>
  <si>
    <t>A.3x.N.32L(S)</t>
  </si>
  <si>
    <t>A.010.N.05G(S)</t>
  </si>
  <si>
    <t>A.010.N.08G(S)</t>
  </si>
  <si>
    <t>A.010.N.20G(S)</t>
  </si>
  <si>
    <t>A.010.N.30G(S)</t>
  </si>
  <si>
    <t>A.010.S.03G(S)</t>
  </si>
  <si>
    <t>A.010.S.05G(S)</t>
  </si>
  <si>
    <t>A.010.S.10G(S)</t>
  </si>
  <si>
    <t>A.010.S.20G(S)</t>
  </si>
  <si>
    <t>A.2x.S.03G(S)</t>
  </si>
  <si>
    <t>A.2x.S.05G(S)</t>
  </si>
  <si>
    <t>A.2x.S.10G(S)</t>
  </si>
  <si>
    <t>A.2x.S.15G(S)</t>
  </si>
  <si>
    <t>A.2x.S.20G(S)</t>
  </si>
  <si>
    <t>A.2xE.S.05G(S)</t>
  </si>
  <si>
    <t>A.2xE.S.10G(S)</t>
  </si>
  <si>
    <t>A.2xE.S.15G(S)</t>
  </si>
  <si>
    <t>A.2xE.S.20G(S)</t>
  </si>
  <si>
    <t>A.3x.N.05G(S)</t>
  </si>
  <si>
    <t>A.3x.N.08G(S)</t>
  </si>
  <si>
    <t>Фильтр притока</t>
  </si>
  <si>
    <t>Привод клапана рециркуляции</t>
  </si>
  <si>
    <t>Смесительный узел для ТО</t>
  </si>
  <si>
    <t>/MUB.04.02._</t>
  </si>
  <si>
    <t>/MUB.04.04._</t>
  </si>
  <si>
    <t>/MUB.06.04._</t>
  </si>
  <si>
    <t>/MUB.06.06._</t>
  </si>
  <si>
    <t>/MUB.08.06._</t>
  </si>
  <si>
    <t>/MUB.08.10._</t>
  </si>
  <si>
    <t>/MUB.12.10._</t>
  </si>
  <si>
    <t>/MUB.12.16._</t>
  </si>
  <si>
    <t>/P.1R.04</t>
  </si>
  <si>
    <t>/P.1R.06</t>
  </si>
  <si>
    <t>/P.1R.08</t>
  </si>
  <si>
    <t>/P.1R.12</t>
  </si>
  <si>
    <t>/A.010.N.04L/VZ.0L</t>
  </si>
  <si>
    <t>/MUG.10.8.EC</t>
  </si>
  <si>
    <t>/MUG.40F.8.EC</t>
  </si>
  <si>
    <t>/MUG.50F.8.EC</t>
  </si>
  <si>
    <t>/MUG.80F.18.EC</t>
  </si>
  <si>
    <t>/MUG.80F.24.AC</t>
  </si>
  <si>
    <t>/MUG.125F.35.AC</t>
  </si>
  <si>
    <t>/P.1F.40</t>
  </si>
  <si>
    <t>фаза</t>
  </si>
  <si>
    <t>/P.1F.40H</t>
  </si>
  <si>
    <t>/P.1F.50</t>
  </si>
  <si>
    <t>/P.3F.40H</t>
  </si>
  <si>
    <t>/P.3F.50</t>
  </si>
  <si>
    <t>/P.3F.65</t>
  </si>
  <si>
    <t>/P.3F.65H</t>
  </si>
  <si>
    <t>/P.3F.80</t>
  </si>
  <si>
    <t>/P.3F.80H</t>
  </si>
  <si>
    <t>/P.3D.80</t>
  </si>
  <si>
    <t>/P.3D.65</t>
  </si>
  <si>
    <t>/P.3D.65H</t>
  </si>
  <si>
    <t>5 – АВР по питанию с общей шиной для всех силовых цепей и цепей управления (без секционирования);</t>
  </si>
  <si>
    <t>5 – АВР по питанию с общей шиной для всех силовых цепей и цепей управления (без секционирования)</t>
  </si>
  <si>
    <t>6 – АВР по питанию с общей шиной для всех силовых цепей и цепей управления (без секционирования + ИБП)</t>
  </si>
  <si>
    <t>7 – АВР по питанию с двумя секциями шин (с секционированием)</t>
  </si>
  <si>
    <t>Привод клапана смесительного узла</t>
  </si>
  <si>
    <t>кВт</t>
  </si>
  <si>
    <t>Циркуляционный насос для ТО</t>
  </si>
  <si>
    <t>Циркуляционный насос для ЖТУ</t>
  </si>
  <si>
    <t>Электрический воздухонагреватель</t>
  </si>
  <si>
    <t>5.1.</t>
  </si>
  <si>
    <t>Смесительный узел ЖТУ</t>
  </si>
  <si>
    <t>Мощность нагревателя, Q макс</t>
  </si>
  <si>
    <t>Напряжение питания</t>
  </si>
  <si>
    <t>Двигатель роторного рекуператора (подключение с использованием частотного преобразователя)</t>
  </si>
  <si>
    <t>Мощность двигателя</t>
  </si>
  <si>
    <t xml:space="preserve">Напряжение питания </t>
  </si>
  <si>
    <t xml:space="preserve">Потребляемый ток </t>
  </si>
  <si>
    <t>А</t>
  </si>
  <si>
    <t xml:space="preserve">Ступени включения (N1+N2+…) кВт: </t>
  </si>
  <si>
    <t>Двигатель приточного вентилятора</t>
  </si>
  <si>
    <t>пуск двигателя прямой</t>
  </si>
  <si>
    <t>Двигатель вытяжного вентилятора</t>
  </si>
  <si>
    <t>Двигатель осн/рез приточного вентилятора</t>
  </si>
  <si>
    <t>фазность</t>
  </si>
  <si>
    <t>Сигнал РАБОТА, Н.О. сухой контакт</t>
  </si>
  <si>
    <t>клапан есть</t>
  </si>
  <si>
    <t>клапана нет</t>
  </si>
  <si>
    <t>с фильтром</t>
  </si>
  <si>
    <t>без фильтра</t>
  </si>
  <si>
    <t>вентилятор</t>
  </si>
  <si>
    <t>осн/рез вентилятор без отсечных клапанов</t>
  </si>
  <si>
    <t>осн/рез вентилятор с отсечными клапанами</t>
  </si>
  <si>
    <t>с реле-перепада на вентиляторе</t>
  </si>
  <si>
    <t>без реле -перепада на вентиляторе</t>
  </si>
  <si>
    <t>Контроль давления вентилятора</t>
  </si>
  <si>
    <t>Контроль фильтра</t>
  </si>
  <si>
    <t>Температура канала</t>
  </si>
  <si>
    <t>Температура обр.воды</t>
  </si>
  <si>
    <t>Капиллярный термостат</t>
  </si>
  <si>
    <t>Наружная температура</t>
  </si>
  <si>
    <t>Комнатная температура</t>
  </si>
  <si>
    <t>Влажность</t>
  </si>
  <si>
    <t>ПДУ</t>
  </si>
  <si>
    <t>Рекуператор</t>
  </si>
  <si>
    <t>Защита от сухого хода</t>
  </si>
  <si>
    <t>Датчик давления, защита циркуляционного насоса от сухого хода</t>
  </si>
  <si>
    <t>ОВЕН ПД100-ДИ 1,6-311-1,0</t>
  </si>
  <si>
    <t>Датчик температуры обратного теплоносителя, накладной в комплекте с хомутом и термопастой, контроль обмерзания рекуператора</t>
  </si>
  <si>
    <t>Рециркуляция</t>
  </si>
  <si>
    <t>U пит.24 В, упр. 0-10В</t>
  </si>
  <si>
    <t>пуск двигателя  с использованием частотного преобразователя</t>
  </si>
  <si>
    <t>пуск двигателя с использованием софт-стартера (УПП)</t>
  </si>
  <si>
    <t>пуск двигателя по схеме звезда-треугольник</t>
  </si>
  <si>
    <t>пуск двигателей прямой</t>
  </si>
  <si>
    <t>пуск двигателей с использованием частотных преобразователей - 2 шт.</t>
  </si>
  <si>
    <t>пуск двигателей с использованием софт-стартеров (УПП) - 2 шт.</t>
  </si>
  <si>
    <t>пуск двигателей по схеме звезда-треугольник</t>
  </si>
  <si>
    <t>Осн/рез двигатели приточного вентилятора,</t>
  </si>
  <si>
    <t>Осн/рез двигатели вытяжного вентилятора,</t>
  </si>
  <si>
    <t>Комнатный терминал</t>
  </si>
  <si>
    <t>17 - ФС отсутствует</t>
  </si>
  <si>
    <t>3 - Предварительный нагрев электрический</t>
  </si>
  <si>
    <t xml:space="preserve"> - Предварительный нагрев приточного воздуха электрическим воздухонагревателем</t>
  </si>
  <si>
    <t xml:space="preserve"> - Жидкостный рекуператор</t>
  </si>
  <si>
    <t>Да</t>
  </si>
  <si>
    <t>3 – АВР отсутствует (один ввод питания) с требованием самозапуска по исчезновению питания. Для систем с водяным нагревом всегда есть отдельный ввод питания, для цепей защиты теплообменника;</t>
  </si>
  <si>
    <t xml:space="preserve">U пит.220 В, открыто/закрыто без пружинного возврата
</t>
  </si>
  <si>
    <t>U пит.220 В, открыто/закрыто с пружинным возвратом</t>
  </si>
  <si>
    <t>0- отсутствует</t>
  </si>
  <si>
    <t>Пульт дистанционного управления для системы без самозапуска</t>
  </si>
  <si>
    <t>Пульт дистанционного управления для системы с самозапуском</t>
  </si>
  <si>
    <t>A.010.N.08L</t>
  </si>
  <si>
    <t>A.010.N.04L</t>
  </si>
  <si>
    <t>Пульт дистанционного управления релейный (кнопки ПУСК/СТОП, лампы АВАРИЯ, РАБОТА), IP54</t>
  </si>
  <si>
    <t>Пульт дистанционного управления релейный (ключ ПУСК/СТОП, лампы АВАРИЯ, РАБОТА), IP54</t>
  </si>
  <si>
    <t>Вне шкафа (входят в стоимость комплекта автоматики)</t>
  </si>
  <si>
    <t>Частотные преобразователи</t>
  </si>
  <si>
    <t>напряжение питания</t>
  </si>
  <si>
    <t>стоимость</t>
  </si>
  <si>
    <t>наименование</t>
  </si>
  <si>
    <t>Преобразователь частоты Danfoss FC-051 (0,18кВт / 50Гц / 230В / IP20) с панелью оператора</t>
  </si>
  <si>
    <t>Преобразователь частоты Danfoss FC-051 (0,37кВт / 50Гц / 230В / IP20) с панелью оператора</t>
  </si>
  <si>
    <t>Преобразователь частоты Danfoss FC-051 (0,75кВт / 50Гц / 230В / IP20) с панелью оператора</t>
  </si>
  <si>
    <t>Преобразователь частоты Danfoss FC-051 (1,5кВт / 50Гц / 230В / IP20) с панелью оператора</t>
  </si>
  <si>
    <t>Преобразователь частоты Danfoss FC-051 (2,2кВт / 50Гц / 230В / IP20) с панелью оператора</t>
  </si>
  <si>
    <t>132F0001</t>
  </si>
  <si>
    <t>132F0002</t>
  </si>
  <si>
    <t>132F0003</t>
  </si>
  <si>
    <t>132F0005</t>
  </si>
  <si>
    <t>132F0007</t>
  </si>
  <si>
    <t>Преобразователь частоты Danfoss FC-051 (0,37кВт / 50Гц / 380-480В / IP20) с панелью оператора</t>
  </si>
  <si>
    <t>Преобразователь частоты Danfoss FC-051 (0,75кВт / 50Гц / 380-480В / IP20) с панелью оператора</t>
  </si>
  <si>
    <t>Преобразователь частоты Danfoss FC-051 (1,5кВт / 50Гц / 380-480В / IP20) с панелью оператора</t>
  </si>
  <si>
    <t>Преобразователь частоты Danfoss FC-051 (2,2кВт / 50Гц / 380-480В / IP20) с панелью оператора</t>
  </si>
  <si>
    <t>Преобразователь частоты Danfoss FC-051 (3,0кВт / 50Гц / 380-480В / IP20) с панелью оператора</t>
  </si>
  <si>
    <t>Преобразователь частоты Danfoss FC-051 (4,0кВт / 50Гц / 380-480В / IP20) с панелью оператора</t>
  </si>
  <si>
    <t>Преобразователь частоты Danfoss FC-051 (5,5кВт / 50Гц / 380-480В / IP20) с панелью оператора</t>
  </si>
  <si>
    <t>Преобразователь частоты Danfoss FC-051 (7,5кВт / 50Гц / 380-480В / IP20) с панелью оператора</t>
  </si>
  <si>
    <t>Преобразователь частоты Danfoss FC-051 (11,0кВт / 50Гц / 380-480В / IP20) с панелью оператора</t>
  </si>
  <si>
    <t>Преобразователь частоты Danfoss FC-051 (15,0кВт / 50Гц / 380-480В / IP20) с панелью оператора</t>
  </si>
  <si>
    <t>Преобразователь частоты Danfoss FC-051 (18,5кВт / 50Гц / 380-480В / IP20) с панелью оператора</t>
  </si>
  <si>
    <t>Преобразователь частоты Danfoss FC-051 (22,0кВт / 50Гц / 380-480В / IP20) с панелью оператора</t>
  </si>
  <si>
    <t>132F0017</t>
  </si>
  <si>
    <t>132F0018</t>
  </si>
  <si>
    <t>132F0020</t>
  </si>
  <si>
    <t>132F0022</t>
  </si>
  <si>
    <t>132F0024</t>
  </si>
  <si>
    <t>132F0026</t>
  </si>
  <si>
    <t>132F0028</t>
  </si>
  <si>
    <t>132F0030</t>
  </si>
  <si>
    <t>132F0058</t>
  </si>
  <si>
    <t>132F0059</t>
  </si>
  <si>
    <t>132F0060</t>
  </si>
  <si>
    <t>132F0061</t>
  </si>
  <si>
    <t>код заказа</t>
  </si>
  <si>
    <t>131L9861</t>
  </si>
  <si>
    <t>131L9862</t>
  </si>
  <si>
    <t>131L9863</t>
  </si>
  <si>
    <t>131L9864</t>
  </si>
  <si>
    <t>131L9865</t>
  </si>
  <si>
    <t>131L9866</t>
  </si>
  <si>
    <t>131L9867</t>
  </si>
  <si>
    <t>131L9868</t>
  </si>
  <si>
    <t>131L9869</t>
  </si>
  <si>
    <t>131L9870</t>
  </si>
  <si>
    <t>131L9871</t>
  </si>
  <si>
    <t>131L9872</t>
  </si>
  <si>
    <t>131L9875</t>
  </si>
  <si>
    <t>131L9883</t>
  </si>
  <si>
    <t>131L9891</t>
  </si>
  <si>
    <t>131L9899</t>
  </si>
  <si>
    <t>131L9907</t>
  </si>
  <si>
    <t>131L9915</t>
  </si>
  <si>
    <t>Преобразователь частоты Danfoss FC-101 (0,37кВт / 50Гц / 380-480В / IP20) с панелью оператора</t>
  </si>
  <si>
    <t>Преобразователь частоты Danfoss FC-101 (0,75кВт / 50Гц / 380-480В / IP20) с панелью оператора</t>
  </si>
  <si>
    <t>Преобразователь частоты Danfoss FC-101 (1,5кВт / 50Гц / 380-480В / IP20) с панелью оператора</t>
  </si>
  <si>
    <t>Преобразователь частоты Danfoss FC-101 (2,2кВт / 50Гц / 380-480В / IP20) с панелью оператора</t>
  </si>
  <si>
    <t>Преобразователь частоты Danfoss FC-101 (3,0кВт / 50Гц / 380-480В / IP20) с панелью оператора</t>
  </si>
  <si>
    <t>Преобразователь частоты Danfoss FC-101 (4,0кВт / 50Гц / 380-480В / IP20) с панелью оператора</t>
  </si>
  <si>
    <t>Преобразователь частоты Danfoss FC-101 (5,5кВт / 50Гц / 380-480В / IP20) с панелью оператора</t>
  </si>
  <si>
    <t>Преобразователь частоты Danfoss FC-101 (7,5кВт / 50Гц / 380-480В / IP20) с панелью оператора</t>
  </si>
  <si>
    <t>Преобразователь частоты Danfoss FC-101 (11,0кВт / 50Гц / 380-480В / IP20) с панелью оператора</t>
  </si>
  <si>
    <t>Преобразователь частоты Danfoss FC-101 (15,0кВт / 50Гц / 380-480В / IP20) с панелью оператора</t>
  </si>
  <si>
    <t>Преобразователь частоты Danfoss FC-101 (18,5кВт / 50Гц / 380-480В / IP20) с панелью оператора</t>
  </si>
  <si>
    <t>Преобразователь частоты Danfoss FC-101 (22,0кВт / 50Гц / 380-480В / IP20) с панелью оператора</t>
  </si>
  <si>
    <t>Преобразователь частоты Danfoss FC-101 (30,0кВт / 50Гц / 380-480В / IP20) с панелью оператора</t>
  </si>
  <si>
    <t>Преобразователь частоты Danfoss FC-101 (37,0кВт / 50Гц / 380-480В / IP20) с панелью оператора</t>
  </si>
  <si>
    <t>Преобразователь частоты Danfoss FC-101 (45,0кВт / 50Гц / 380-480В / IP20) с панелью оператора</t>
  </si>
  <si>
    <t>Преобразователь частоты Danfoss FC-101 (55,0кВт / 50Гц / 380-480В / IP20) с панелью оператора</t>
  </si>
  <si>
    <t>Преобразователь частоты Danfoss FC-101 (75,0кВт / 50Гц / 380-480В / IP20) с панелью оператора</t>
  </si>
  <si>
    <t>Преобразователь частоты Danfoss FC-101 (90,0кВт / 50Гц / 380-480В / IP20) с панелью оператора</t>
  </si>
  <si>
    <t>Преобразователь частоты Danfoss FC-101 (0,75кВт / 50Гц / 380-480В / IP54) со встроенной панелью оператора</t>
  </si>
  <si>
    <t>Преобразователь частоты Danfoss FC-101 (1,5кВт / 50Гц / 380-480В / IP54) со встроенной панелью оператора</t>
  </si>
  <si>
    <t>Преобразователь частоты Danfoss FC-101 (2,2кВт / 50Гц / 380-480В / IP54) со встроенной панелью оператора</t>
  </si>
  <si>
    <t>Преобразователь частоты Danfoss FC-101 (3,0кВт / 50Гц / 380-480В / IP54) со встроенной панелью оператора</t>
  </si>
  <si>
    <t>Преобразователь частоты Danfoss FC-101 (4,0кВт / 50Гц / 380-480В / IP54) со встроенной панелью оператора</t>
  </si>
  <si>
    <t>Преобразователь частоты Danfoss FC-101 (5,5кВт / 50Гц / 380-480В / IP54) со встроенной панелью оператора</t>
  </si>
  <si>
    <t>Преобразователь частоты Danfoss FC-101 (7,5кВт / 50Гц / 380-480В / IP54) со встроенной панелью оператора</t>
  </si>
  <si>
    <t>Преобразователь частоты Danfoss FC-101 (11,0кВт / 50Гц / 380-480В / IP54) со встроенной панелью оператора</t>
  </si>
  <si>
    <t>Преобразователь частоты Danfoss FC-101 (15,0кВт / 50Гц / 380-480В / IP54) со встроенной панелью оператора</t>
  </si>
  <si>
    <t>Преобразователь частоты Danfoss FC-101 (18,5кВт / 50Гц / 380-480В / IP54) со встроенной панелью оператора</t>
  </si>
  <si>
    <t>Преобразователь частоты Danfoss FC-101 (22,0кВт / 50Гц / 380-480В / IP54) со встроенной панелью оператора</t>
  </si>
  <si>
    <t>Преобразователь частоты Danfoss FC-101 (30,0кВт / 50Гц / 380-480В / IP54) со встроенной панелью оператора</t>
  </si>
  <si>
    <t>Преобразователь частоты Danfoss FC-101 (37,0кВт / 50Гц / 380-480В / IP54) со встроенной панелью оператора</t>
  </si>
  <si>
    <t>Преобразователь частоты Danfoss FC-101 (45,0кВт / 50Гц / 380-480В / IP54) со встроенной панелью оператора</t>
  </si>
  <si>
    <t>Преобразователь частоты Danfoss FC-101 (55,0кВт / 50Гц / 380-480В / IP54) со встроенной панелью оператора</t>
  </si>
  <si>
    <t>Преобразователь частоты Danfoss FC-101 (75,0кВт / 50Гц / 380-480В / IP54) со встроенной панелью оператора</t>
  </si>
  <si>
    <t>Преобразователь частоты Danfoss FC-101 (90,0кВт / 50Гц / 380-480В / IP54) со встроенной панелью оператора</t>
  </si>
  <si>
    <t>131N0177</t>
  </si>
  <si>
    <t>131N0179</t>
  </si>
  <si>
    <t>131N0181</t>
  </si>
  <si>
    <t>131N0183</t>
  </si>
  <si>
    <t>131N0185</t>
  </si>
  <si>
    <t>131N0187</t>
  </si>
  <si>
    <t>131N0189</t>
  </si>
  <si>
    <t>131N0191</t>
  </si>
  <si>
    <t>131N0193</t>
  </si>
  <si>
    <t>131N0195</t>
  </si>
  <si>
    <t>131N0197</t>
  </si>
  <si>
    <t>131N0201</t>
  </si>
  <si>
    <t>131N0205</t>
  </si>
  <si>
    <t>131N0209</t>
  </si>
  <si>
    <t>131N0213</t>
  </si>
  <si>
    <t>131N0217</t>
  </si>
  <si>
    <t>131N0221</t>
  </si>
  <si>
    <t>FC-101 степень защиты IP54 (повышенный ЭМС) применять для жилья, медицинский учреждений, коммерчиские здания, вычеслительная техника и т.д.</t>
  </si>
  <si>
    <t>131N0178</t>
  </si>
  <si>
    <t>131N0180</t>
  </si>
  <si>
    <t>131N0182</t>
  </si>
  <si>
    <t>131N0184</t>
  </si>
  <si>
    <t>131N0186</t>
  </si>
  <si>
    <t>131N0188</t>
  </si>
  <si>
    <t>131N0190</t>
  </si>
  <si>
    <t>131N0192</t>
  </si>
  <si>
    <t>131N0194</t>
  </si>
  <si>
    <t>131N0196</t>
  </si>
  <si>
    <t>131N0198</t>
  </si>
  <si>
    <t>131N0202</t>
  </si>
  <si>
    <t>131N0206</t>
  </si>
  <si>
    <t>131N0210</t>
  </si>
  <si>
    <t>131N0214</t>
  </si>
  <si>
    <t>131N0218</t>
  </si>
  <si>
    <t>131N0222</t>
  </si>
  <si>
    <t xml:space="preserve">Регулятор оборотов скорости канальных вентилятором 220/230 В, 50 Гц. ВНИМАНИЕ - данный регулятор не применим с моторами ЕС.  </t>
  </si>
  <si>
    <t>Регулятор скорости VRC 1.5/DN</t>
  </si>
  <si>
    <t>Регулятор скорости VRC 1.5N (220 В, max. 1.5A)</t>
  </si>
  <si>
    <t>Регулятор скорости VRC 10.0</t>
  </si>
  <si>
    <t>Регулятор скорости VRC 2.5N (220 В, max. 2.5A)</t>
  </si>
  <si>
    <t>Регулятор скорости VRC 2.5/DN</t>
  </si>
  <si>
    <t>Регулятор скорости VRC 4.0 (220 В, max. 4A)</t>
  </si>
  <si>
    <t xml:space="preserve">Регулятор скорости VRC 6.0 </t>
  </si>
  <si>
    <t>Для двигателя до 1,5А. Монтаж на динрейку, код IP 20</t>
  </si>
  <si>
    <t>Для двигателя до 1,5А. Монтаж на стену, код IP 54</t>
  </si>
  <si>
    <t>Для двигателя до 10А. Монтаж на динрейку, код IP 54</t>
  </si>
  <si>
    <t>Для двигателя до 2,5А. Монтаж на стену, код IP 54</t>
  </si>
  <si>
    <t>Для двигателя до 4 А. Монтаж на стену, код IP 54</t>
  </si>
  <si>
    <t>Для двигателя до 6 А. Монтаж на стену, код IP 54</t>
  </si>
  <si>
    <t>ЧП FC051 вход 220 В</t>
  </si>
  <si>
    <t>ЧП FC051 вход 380 В</t>
  </si>
  <si>
    <t>ЧП FC101 IP20</t>
  </si>
  <si>
    <t>ЧП FC101 IP54</t>
  </si>
  <si>
    <t>ЧП FC101 IP54 повышенный ЭМС</t>
  </si>
  <si>
    <t>Регуляторы оборотов VRS</t>
  </si>
  <si>
    <t>Регуляторы оборотов  для EC моторов</t>
  </si>
  <si>
    <t>Привод клапана нагревателя/охладителя</t>
  </si>
  <si>
    <t>Клапан нагревателя/охладителя</t>
  </si>
  <si>
    <t>Адаптер клапана</t>
  </si>
  <si>
    <t>Циркуляционный насос</t>
  </si>
  <si>
    <t>Узлы смесительные</t>
  </si>
  <si>
    <t>Насосы циркуляционные</t>
  </si>
  <si>
    <t>Адаптер привода</t>
  </si>
  <si>
    <t>Привод клапана</t>
  </si>
  <si>
    <t>Клапан</t>
  </si>
  <si>
    <t>VR.002L</t>
  </si>
  <si>
    <t>VR.004L</t>
  </si>
  <si>
    <t>VR.010L</t>
  </si>
  <si>
    <t>VR.016L</t>
  </si>
  <si>
    <t>VR.025L</t>
  </si>
  <si>
    <t>VR.040L</t>
  </si>
  <si>
    <t>VR.063L</t>
  </si>
  <si>
    <t>PSF-M</t>
  </si>
  <si>
    <t>FC-051 (0,18кВт / 50Гц / 230В / IP20) с панелью оператора</t>
  </si>
  <si>
    <t>FC-051 (0,37кВт / 50Гц / 230В / IP20) с панелью оператора</t>
  </si>
  <si>
    <t>FC-051 (0,75кВт / 50Гц / 230В / IP20) с панелью оператора</t>
  </si>
  <si>
    <t>FC-051 (1,5кВт / 50Гц / 230В / IP20) с панелью оператора</t>
  </si>
  <si>
    <t>FC-051 (2,2кВт / 50Гц / 230В / IP20) с панелью оператора</t>
  </si>
  <si>
    <t>FC-051 (0,37кВт / 50Гц / 380-480В / IP20) с панелью оператора</t>
  </si>
  <si>
    <t>FC-051 (0,75кВт / 50Гц / 380-480В / IP20) с панелью оператора</t>
  </si>
  <si>
    <t>FC-051 (1,5кВт / 50Гц / 380-480В / IP20) с панелью оператора</t>
  </si>
  <si>
    <t>FC-051 (2,2кВт / 50Гц / 380-480В / IP20) с панелью оператора</t>
  </si>
  <si>
    <t>FC-051 (3,0кВт / 50Гц / 380-480В / IP20) с панелью оператора</t>
  </si>
  <si>
    <t>FC-051 (4,0кВт / 50Гц / 380-480В / IP20) с панелью оператора</t>
  </si>
  <si>
    <t>FC-051 (5,5кВт / 50Гц / 380-480В / IP20) с панелью оператора</t>
  </si>
  <si>
    <t>FC-051 (7,5кВт / 50Гц / 380-480В / IP20) с панелью оператора</t>
  </si>
  <si>
    <t>FC-051 (11,0кВт / 50Гц / 380-480В / IP20) с панелью оператора</t>
  </si>
  <si>
    <t>FC-051 (15,0кВт / 50Гц / 380-480В / IP20) с панелью оператора</t>
  </si>
  <si>
    <t>FC-051 (18,5кВт / 50Гц / 380-480В / IP20) с панелью оператора</t>
  </si>
  <si>
    <t>FC-051 (22,0кВт / 50Гц / 380-480В / IP20) с панелью оператора</t>
  </si>
  <si>
    <t>FC-101 (0,37кВт / 50Гц / 380-480В / IP20) с панелью оператора</t>
  </si>
  <si>
    <t>FC-101 (0,75кВт / 50Гц / 380-480В / IP20) с панелью оператора</t>
  </si>
  <si>
    <t>FC-101 (1,5кВт / 50Гц / 380-480В / IP20) с панелью оператора</t>
  </si>
  <si>
    <t>FC-101 (2,2кВт / 50Гц / 380-480В / IP20) с панелью оператора</t>
  </si>
  <si>
    <t>FC-101 (3,0кВт / 50Гц / 380-480В / IP20) с панелью оператора</t>
  </si>
  <si>
    <t>FC-101 (4,0кВт / 50Гц / 380-480В / IP20) с панелью оператора</t>
  </si>
  <si>
    <t>FC-101 (5,5кВт / 50Гц / 380-480В / IP20) с панелью оператора</t>
  </si>
  <si>
    <t>FC-101 (7,5кВт / 50Гц / 380-480В / IP20) с панелью оператора</t>
  </si>
  <si>
    <t>FC-101 (11,0кВт / 50Гц / 380-480В / IP20) с панелью оператора</t>
  </si>
  <si>
    <t>FC-101 (15,0кВт / 50Гц / 380-480В / IP20) с панелью оператора</t>
  </si>
  <si>
    <t>FC-101 (18,5кВт / 50Гц / 380-480В / IP20) с панелью оператора</t>
  </si>
  <si>
    <t>FC-101 (22,0кВт / 50Гц / 380-480В / IP20) с панелью оператора</t>
  </si>
  <si>
    <t>FC-101 (30,0кВт / 50Гц / 380-480В / IP20) с панелью оператора</t>
  </si>
  <si>
    <t>FC-101 (37,0кВт / 50Гц / 380-480В / IP20) с панелью оператора</t>
  </si>
  <si>
    <t>FC-101 (45,0кВт / 50Гц / 380-480В / IP20) с панелью оператора</t>
  </si>
  <si>
    <t>FC-101 (55,0кВт / 50Гц / 380-480В / IP20) с панелью оператора</t>
  </si>
  <si>
    <t>FC-101 (75,0кВт / 50Гц / 380-480В / IP20) с панелью оператора</t>
  </si>
  <si>
    <t>FC-101 (90,0кВт / 50Гц / 380-480В / IP20) с панелью оператора</t>
  </si>
  <si>
    <t>FC-101 (0,75кВт / 50Гц / 380-480В / IP54) со встроенной панелью оператора</t>
  </si>
  <si>
    <t>FC-101 (1,5кВт / 50Гц / 380-480В / IP54) со встроенной панелью оператора</t>
  </si>
  <si>
    <t>FC-101 (2,2кВт / 50Гц / 380-480В / IP54) со встроенной панелью оператора</t>
  </si>
  <si>
    <t>FC-101 (3,0кВт / 50Гц / 380-480В / IP54) со встроенной панелью оператора</t>
  </si>
  <si>
    <t>FC-101 (4,0кВт / 50Гц / 380-480В / IP54) со встроенной панелью оператора</t>
  </si>
  <si>
    <t>FC-101 (5,5кВт / 50Гц / 380-480В / IP54) со встроенной панелью оператора</t>
  </si>
  <si>
    <t>FC-101 (7,5кВт / 50Гц / 380-480В / IP54) со встроенной панелью оператора</t>
  </si>
  <si>
    <t>FC-101 (11,0кВт / 50Гц / 380-480В / IP54) со встроенной панелью оператора</t>
  </si>
  <si>
    <t>FC-101 (15,0кВт / 50Гц / 380-480В / IP54) со встроенной панелью оператора</t>
  </si>
  <si>
    <t>FC-101 (18,5кВт / 50Гц / 380-480В / IP54) со встроенной панелью оператора</t>
  </si>
  <si>
    <t>FC-101 (22,0кВт / 50Гц / 380-480В / IP54) со встроенной панелью оператора</t>
  </si>
  <si>
    <t>FC-101 (30,0кВт / 50Гц / 380-480В / IP54) со встроенной панелью оператора</t>
  </si>
  <si>
    <t>FC-101 (37,0кВт / 50Гц / 380-480В / IP54) со встроенной панелью оператора</t>
  </si>
  <si>
    <t>FC-101 (45,0кВт / 50Гц / 380-480В / IP54) со встроенной панелью оператора</t>
  </si>
  <si>
    <t>FC-101 (55,0кВт / 50Гц / 380-480В / IP54) со встроенной панелью оператора</t>
  </si>
  <si>
    <t>FC-101 (75,0кВт / 50Гц / 380-480В / IP54) со встроенной панелью оператора</t>
  </si>
  <si>
    <t>FC-101 (90,0кВт / 50Гц / 380-480В / IP54) со встроенной панелью оператора</t>
  </si>
  <si>
    <t>VRC 1.5/DN</t>
  </si>
  <si>
    <t>VRC 10.0</t>
  </si>
  <si>
    <t>VRC 2.5/DN</t>
  </si>
  <si>
    <t xml:space="preserve">VRC 6.0 </t>
  </si>
  <si>
    <t>VRC 1.5N</t>
  </si>
  <si>
    <t>VRC 2.5N</t>
  </si>
  <si>
    <t>VRC 4.0</t>
  </si>
  <si>
    <t>VR.006L</t>
  </si>
  <si>
    <t>/MUB.04.02.CP</t>
  </si>
  <si>
    <t>/MUB.04.04.CP</t>
  </si>
  <si>
    <t>/MUB.08.16._</t>
  </si>
  <si>
    <t>Model UR</t>
  </si>
  <si>
    <t>/MUB.06.04.CP</t>
  </si>
  <si>
    <t>/MUB.06.06.CP</t>
  </si>
  <si>
    <t>/MUB.08.06.CP</t>
  </si>
  <si>
    <t>/MUB.08.10.CP</t>
  </si>
  <si>
    <t>/MUB.08.16.CP</t>
  </si>
  <si>
    <t>/MUB.12.10.CP</t>
  </si>
  <si>
    <t>/MUB.12.16.CP</t>
  </si>
  <si>
    <t>/MUB.04.02.TM</t>
  </si>
  <si>
    <t>/MUB.04.04.TM</t>
  </si>
  <si>
    <t>/MUB.06.04.TM</t>
  </si>
  <si>
    <t>/MUB.06.06.TM</t>
  </si>
  <si>
    <t>/MUB.08.06.TM</t>
  </si>
  <si>
    <t>/MUB.08.10.TM</t>
  </si>
  <si>
    <t>/MUB.08.16.TM</t>
  </si>
  <si>
    <t>/MUB.12.10.TM</t>
  </si>
  <si>
    <t>/MUB.12.16.TM</t>
  </si>
  <si>
    <t>/MUB.04.02.CP.TM</t>
  </si>
  <si>
    <t>/MUB.04.04.CP.TM</t>
  </si>
  <si>
    <t>/MUB.06.04.CP.TM</t>
  </si>
  <si>
    <t>/MUB.06.06.CP.TM</t>
  </si>
  <si>
    <t>/MUB.08.06.CP.TM</t>
  </si>
  <si>
    <t>/MUB.08.10.CP.TM</t>
  </si>
  <si>
    <t>/MUB.08.16.CP.TM</t>
  </si>
  <si>
    <t>/MUB.12.10.CP.TM</t>
  </si>
  <si>
    <t>/MUB.12.16.CP.TM</t>
  </si>
  <si>
    <t>мощность</t>
  </si>
  <si>
    <t xml:space="preserve">ток </t>
  </si>
  <si>
    <t>Узел регулирования</t>
  </si>
  <si>
    <t xml:space="preserve">регулятор оборотов для ЕС- моторов </t>
  </si>
  <si>
    <t>регулятор оборотов для ЕС- моторов PSF-M</t>
  </si>
  <si>
    <t>прайс, руб</t>
  </si>
  <si>
    <t>Привод воздушного клапана с плавной регулировкой(0-10В), Uпит 24 В, без пружинного возврата</t>
  </si>
  <si>
    <t>Привод воздушного клапана с плавной регулировкой(0-10В), Uпит 24 В, с пружинным возвратом</t>
  </si>
  <si>
    <t>Привод воздушного клапана открыто/закрыто, Uпит 24 В, с пружинным возвратом</t>
  </si>
  <si>
    <t>Привод воздушного клапана открыто/закрыто, Uпит 220 В, с пружинным возвратом</t>
  </si>
  <si>
    <t>Привод воздушного клапана открыто/закрыто, Uпит 220 В, без пружинного возврата</t>
  </si>
  <si>
    <t>A.3x.N.30G(S)</t>
  </si>
  <si>
    <t>VR.090е</t>
  </si>
  <si>
    <t>VR.150е</t>
  </si>
  <si>
    <t>VZ.0L</t>
  </si>
  <si>
    <t>VZ.2L</t>
  </si>
  <si>
    <t>Резьбовое соед.</t>
  </si>
  <si>
    <t>/PZ.W1</t>
  </si>
  <si>
    <t>/PZ.W2</t>
  </si>
  <si>
    <t>Резьбовое соединение</t>
  </si>
  <si>
    <t>код 5</t>
  </si>
  <si>
    <t>код 6</t>
  </si>
  <si>
    <t>код 7</t>
  </si>
  <si>
    <t>код 8</t>
  </si>
  <si>
    <t>код 9</t>
  </si>
  <si>
    <t>Управление</t>
  </si>
  <si>
    <t>самозапуск</t>
  </si>
  <si>
    <t>без самозапуска</t>
  </si>
  <si>
    <t>Предусмотреть ключ управления МЕСТ/АВТО/ДУ
В положении ключа МЕСТ (местное управление) запуск/останов установки осуществляется кнопками ПУСК/СТОП без фиксации положения
- нажатие кнопки ПУСК – установка включена
- нажатие кнопки СТОП – перевод установки в дежурный режим
В положение ключа АВТО -  управление пуск/стоп установки от внешних сигналов (выбор в меню контроллера (при наличии): расписание, от системы верхнего уровня, Н.О. сухого контакта, датчика температуры и т.д.), определяется техническим заданием, по умолчанию в  меню контроллера всегда присутствует выбор управления по расписанию и от системы верхнего уровня)
В положении ключа ДУ – управление от клемм для внешнего пульта дистанционного управления (ПДУ), дублирует режим управления МЕСТ ( в составе ПДУ должны быть : кнопки ПУСК,СТОП без фиксации положения, лампы АВАРИЯ, РАБОТА пит.220В).</t>
  </si>
  <si>
    <t>Предусмотреть ключ управления МЕСТ/АВТО/ДУ
В положении ключа МЕСТ (местное управление) запуск/останов установки осуществляется дополнительным 2-х позиционным ключем ВКЛ/ВЫКЛ
- положение ключа ВКЛ – установка включена
- положение ключа ВЫКЛ – установка в дежурном режиме
В положение ключа АВТО -  управление пуск/стоп установки от внешних сигналов (выбор в меню контроллера (при наличии): расписание, от системы верхнего уровня, Н.О. сухого контакта, датчика температуры и т.д.), определяется техническим заданием, по умолчанию в  меню контроллера всегда присутствует выбор управления по расписанию и от системы верхнего уровня)
В положении ключа ДУ – управление от клемм для внешнего пульта дистанционного управления (ПДУ), дублирует режим управления МЕСТ ( в составе ПДУ должны быть : 2-х позиционный ключ ВКЛ/ВЫКЛ, лампы АВАРИЯ, РАБОТА пит.220В).</t>
  </si>
  <si>
    <t>Uпит~24B, упр. 0-10В</t>
  </si>
  <si>
    <t>Uпит~220B</t>
  </si>
  <si>
    <t>Uпит~380B</t>
  </si>
  <si>
    <t>5.</t>
  </si>
  <si>
    <t>ExBin - P5000; Kit2</t>
  </si>
  <si>
    <t>Датчик давления 0...5000Па (мин. уставка 250Па), с монтажным комплектом (подключение к техпроцессу шлангами с пластиковымы фитингами), встроенный индикатор текущего значения, 1Ex e mb [ia Ga] IIC T6 Gb, Ex tD[iaD] А21 IP66 T80°C,  IP66, максимальное давление 50кПа, релейный выход, ввод 2 сальника M16×1,5 Ex e под кабель Ø 5...9мм. Температура окружающей среды -20С...+50С. Функциональное назначение: контроль вентилятора</t>
  </si>
  <si>
    <t>Датчик дифференциального давления 0...500Па (мин. уставка 25Па), с монтажным комплектом (подключение к техпроцессу шлангами с пластиковымы фитингами), встроенный индикатор текущего значения, 1Ex e mb [ia Ga] IIC T6 Gb, Ex tD[iaD] А21 IP66 T80°C, IP66, максимальное давление 5кПа, релейный выход, ввод 2 сальника M16×1,5 Ex e под кабель Ø 5...9мм. Температура окружающей среды -20С...+50С. Функциональное назначение:  контроль запыленности фильтра.</t>
  </si>
  <si>
    <t xml:space="preserve">ExBin - P500; Kit2 </t>
  </si>
  <si>
    <t>Термостат, капиллярная трубка 3м, 1Ex e mb [ia Ga] IIC T6 Gb, в комплекте с монтажным набором. Функциональное назначение: защита теплообменника от замораживания по воздуху.</t>
  </si>
  <si>
    <t>ExBin-FR3; Kit 1.3</t>
  </si>
  <si>
    <t>Термостат, капиллярная трубка 6м, 1Ex e mb [ia Ga] IIC T6 Gb, в комплекте с монтажным набором. Функциональное назначение: защита теплообменника от замораживания по воздуху.</t>
  </si>
  <si>
    <t>ExBin-FR6; Kit 1.6</t>
  </si>
  <si>
    <t>Термопреобразователь сопротивления РТ1000, 1ExdIICT6, IP65,  L=80мм, D=8мм, под бронированный кабель D=10...13мм, d=6...10мм, в комплекте с гильзой защитной для установки погружного датчика температуры. Функциональное назначение: измерение температуры обратного теплоносителя.</t>
  </si>
  <si>
    <t>ТС-1187 ExdВ V3/ 4/ -/ Pt1000/ -50...+200/ 80/ 8/ -/ -/ B/ АГ-14Exd/ КБ-13/ №1/ ГП/ -; ГЗ-015 -/ 01/ М20х1,5/ М20х1,5/ Н10/ 8/ 12 мм/ 80 мм/ 6,3 Мпа</t>
  </si>
  <si>
    <t>Защита от заморозки по воде. Взрывозащищенное исполнение</t>
  </si>
  <si>
    <t>Термопреобразователь сопротивления РТ1000, 1ExdIICT6, IP65, L=200мм, D=8мм, под бронированный кабель D=10...13мм, d=6...10мм, в комплекте с установочным штуцером для установки канального датчика. Функциональное назначение: измерение температуры приточного воздуха.</t>
  </si>
  <si>
    <t>Взрывозащищенное исполнение</t>
  </si>
  <si>
    <t>ТС-1187 ExdВ V3/ 2/ -/ Pt1000/ -50...+200/ 200/ 8/ -/ -/ B/ АГ-14Exd/ КБ-13/ №1/ ГП/ -; ШП-М20 8/ Р</t>
  </si>
  <si>
    <t>Термопреобразователь сопротивления РТ1000, 1ExdIICT6, IP65,  L=80мм, D=8мм, под бронированный кабель D=10...13мм, d=6...10мм. Функциональное назначение: измерение температуры наружного воздуха</t>
  </si>
  <si>
    <t>ТС-1187 ExdВ V3/ 4/ -/ Pt1000/ -50...+200/ 80/ 8/ -/ -/ B/ АГ-14Exd/ КБ-13/ №1/ ГП/ -</t>
  </si>
  <si>
    <t>Привод без пружинного возврата стандартный</t>
  </si>
  <si>
    <t>Привод без пружинного возврата ускоренный</t>
  </si>
  <si>
    <t>Привод с пружинным возвратом</t>
  </si>
  <si>
    <t>U пит.24 В, упр. 0-10В с пружиной</t>
  </si>
  <si>
    <t>U пит.24 В, упр. 0-10В без пружины</t>
  </si>
  <si>
    <t>U пит.220 В, открыто/закрыто без пружинного возврата</t>
  </si>
  <si>
    <t>DA02N24S</t>
  </si>
  <si>
    <t>Привод воздушного клапана открыто/закрыто, Uпит 24 AC/DC, без пружинного возврата</t>
  </si>
  <si>
    <t>DA04N24S</t>
  </si>
  <si>
    <t>DA08N24S</t>
  </si>
  <si>
    <t>DA16N24S</t>
  </si>
  <si>
    <t>DA24N24S</t>
  </si>
  <si>
    <t>DA32N24S</t>
  </si>
  <si>
    <t>Привод воздушного клапана открыто/закрыто, Uпит 230 AC, без пружинного возврата</t>
  </si>
  <si>
    <t>DA08N220S</t>
  </si>
  <si>
    <t>DA16N220S</t>
  </si>
  <si>
    <t>DA24N220S</t>
  </si>
  <si>
    <t>DA32N220S</t>
  </si>
  <si>
    <t>DA02N24PI</t>
  </si>
  <si>
    <t>Привод воздушного клапана с плавной регулировкой 0(2)-10В/0(4)-20мА, Uпит 24 AC/DC, без пружинного возврата</t>
  </si>
  <si>
    <t>DA04N24PI</t>
  </si>
  <si>
    <t>DA08N24PI</t>
  </si>
  <si>
    <t>DA16N24PI</t>
  </si>
  <si>
    <t>DA24N24PI</t>
  </si>
  <si>
    <t>DA32N24PI</t>
  </si>
  <si>
    <t>DA32N220PI</t>
  </si>
  <si>
    <t>Привод воздушного клапана с плавной регулировкой 0(2)-10В/0(4)-20мА, Uпит 230 AC, без пружинного возврата</t>
  </si>
  <si>
    <t>DA24N220PI</t>
  </si>
  <si>
    <t>DA16N220PI</t>
  </si>
  <si>
    <t>DA08N220PI</t>
  </si>
  <si>
    <t>DA04N220PI</t>
  </si>
  <si>
    <t>DA02N220PI</t>
  </si>
  <si>
    <t>DA08F24S</t>
  </si>
  <si>
    <t>Привод воздушного клапана открыто/закрыто, Uпит 24 AC/DC, без пружинного возврата, ускоренный</t>
  </si>
  <si>
    <t>DA16F24S</t>
  </si>
  <si>
    <t>DA24F24S</t>
  </si>
  <si>
    <t>DA08F220S</t>
  </si>
  <si>
    <t>DA16F220S</t>
  </si>
  <si>
    <t>DA24F220S</t>
  </si>
  <si>
    <t>Привод воздушного клапана открыто/закрыто, Uпит 230 AC, без пружинного возврата, ускоренный</t>
  </si>
  <si>
    <t>DA08F24PI</t>
  </si>
  <si>
    <t>DA16F24PI</t>
  </si>
  <si>
    <t>DA24F24PI</t>
  </si>
  <si>
    <t>Привод воздушного клапана с плавной регулировкой 0(2)-10В/0(4)-20мА, Uпит 24 AC/DC, без пружинного возврата, ускоренный</t>
  </si>
  <si>
    <t>DA08F220PI</t>
  </si>
  <si>
    <t>DA16F220PI</t>
  </si>
  <si>
    <t>DA24F220PI</t>
  </si>
  <si>
    <t>Привод воздушного клапана с плавной регулировкой 0(2)-10В/0(4)-20мА, Uпит 230 AC, без пружинного возврата, ускоренный</t>
  </si>
  <si>
    <t>DA03S24S</t>
  </si>
  <si>
    <t>Привод воздушного клапана открыто/закрыто, Uпит 24 AC/DC, с пружинным возвратом</t>
  </si>
  <si>
    <t>DA05S24S</t>
  </si>
  <si>
    <t>DA10S24S</t>
  </si>
  <si>
    <t>DA15S24S</t>
  </si>
  <si>
    <t>DA10S220S</t>
  </si>
  <si>
    <t>DA15S220S</t>
  </si>
  <si>
    <t>Привод воздушного клапана открыто/закрыто, Uпит 230 AC, с пружинным возвратом</t>
  </si>
  <si>
    <t>DA03S24P</t>
  </si>
  <si>
    <t>Привод воздушного клапана с плавной регулировкой 0(2)-10В, Uпит 24 AC/DC, с пружинным возвратом</t>
  </si>
  <si>
    <t>DA05S24P</t>
  </si>
  <si>
    <t>DA10S24P</t>
  </si>
  <si>
    <t>DA15S24P</t>
  </si>
  <si>
    <t xml:space="preserve"> - Нагрев приточного воздуха жидкостным и (или) электрическим нагревателями</t>
  </si>
  <si>
    <t>4 - Жидкостный и электрический нагреватели</t>
  </si>
  <si>
    <t>ОВЕН ДТС405Л-РТ1000.В2.320</t>
  </si>
  <si>
    <t>ОВЕН ДТС224-РТ1000.В2.43.2</t>
  </si>
  <si>
    <t>Канальный датчик температуры воздуха с комплектом монтажных частей, измерение температуры приточного воздуха. Предв. нагреватель</t>
  </si>
  <si>
    <t>ОВЕН ДТС405Л-РТ1000.В2.320(преднагрев)</t>
  </si>
  <si>
    <t>Контактное лицо</t>
  </si>
  <si>
    <t xml:space="preserve">Комплект автоматики VEINARD </t>
  </si>
  <si>
    <t xml:space="preserve">Бланк-заказ № </t>
  </si>
  <si>
    <t>СS — система диспетчеризации</t>
  </si>
  <si>
    <t>СВ — шкаф управления вентиляционной установкой</t>
  </si>
  <si>
    <t>РВ — шкаф силовой</t>
  </si>
  <si>
    <t xml:space="preserve">     Основные положения:</t>
  </si>
  <si>
    <t xml:space="preserve">     Технические характеристики шкафа управления:</t>
  </si>
  <si>
    <t>1 – АВР отсутствует</t>
  </si>
  <si>
    <t>1 - АВР отсутствует  + ИБП</t>
  </si>
  <si>
    <t xml:space="preserve">2– АВР по питанию </t>
  </si>
  <si>
    <t>380+N+PE (400+N+PE)</t>
  </si>
  <si>
    <t>220+N+PE (230+N+PE)</t>
  </si>
  <si>
    <t>1.</t>
  </si>
  <si>
    <t>2.</t>
  </si>
  <si>
    <t>3.</t>
  </si>
  <si>
    <t>4.</t>
  </si>
  <si>
    <t>6.</t>
  </si>
  <si>
    <t>7.</t>
  </si>
  <si>
    <t>8.</t>
  </si>
  <si>
    <t>9.</t>
  </si>
  <si>
    <t>10.</t>
  </si>
  <si>
    <t>12.</t>
  </si>
  <si>
    <t>11.</t>
  </si>
  <si>
    <t>Подбор датчиков в комплект поставки</t>
  </si>
  <si>
    <t>Функциональный состав установки</t>
  </si>
  <si>
    <t xml:space="preserve">     Контроль и управление оборудованием:</t>
  </si>
  <si>
    <t xml:space="preserve">     • Установочная мощность шкафа определяется суммарной мощностью коммутируемых элементов.
     • Шкаф стандартно имеет вход пожарной сигнализации типа Н.З. «сухой контакт» (контакт ПОЖАР должен   
       размыкаться при пожаре), напряжение линии 220/230.
     • Шкаф оснащен запираемой дверцей, на которой расположены органы управления и индикации.
     • Алгоритмы работы шкафа устанавливается настоящим бланк-заказом, внутренним стандартом предприятия-
       изготовителя. Программное обеспечение контроллера является интеллектуальной собственностью компании.
     • Разработчик оставляет за собой право вносить изменения, не влияющие на основные функции системы без 
       предварительного уведомления с сохранением технических характеристик.
     • Стандартно шкаф укомплектован сальниковыми кабельными вводами  мембранного типа.
     • Группа механического исполнения по ГОСТ 17516.1 - М7.</t>
  </si>
  <si>
    <t>Номинальное рабочее напряжение ввода силовой цепи (В)</t>
  </si>
  <si>
    <t>Клапан притока (привод с концевым выключателем)</t>
  </si>
  <si>
    <t>Клапан притока (привод без концевого выключателя)</t>
  </si>
  <si>
    <t>VEINARD UR 01-1-R-B-0-0</t>
  </si>
  <si>
    <t>VEINARD UR 02-1-R-B-0-0</t>
  </si>
  <si>
    <t>VEINARD UR 03-1-R-B-0-0</t>
  </si>
  <si>
    <t>VEINARD UR 04-1-R-B-0-0</t>
  </si>
  <si>
    <t>VEINARD UR 05-1-R-B-0-0</t>
  </si>
  <si>
    <t>VEINARD UR 06-1-R-B-0-0</t>
  </si>
  <si>
    <t>VEINARD UR 07-1-R-B-0-0</t>
  </si>
  <si>
    <t>VEINARD UR 08-1-R-B-0-0</t>
  </si>
  <si>
    <t>VEINARD UR 09-1-R-B-0-0</t>
  </si>
  <si>
    <t>VEINARD UR 01-1-R-B-TM-0</t>
  </si>
  <si>
    <t>VEINARD UR 02-1-R-B-TM-0</t>
  </si>
  <si>
    <t>VEINARD UR 03-1-R-B-TM-0</t>
  </si>
  <si>
    <t>VEINARD UR 04-1-R-B-TM-0</t>
  </si>
  <si>
    <t>VEINARD UR 05-1-R-B-TM-0</t>
  </si>
  <si>
    <t>VEINARD UR 06-1-R-B-TM-0</t>
  </si>
  <si>
    <t>VEINARD UR 07-1-R-B-TM-0</t>
  </si>
  <si>
    <t>VEINARD UR 08-1-R-B-TM-0</t>
  </si>
  <si>
    <t>VEINARD UR 09-1-R-B-TM-0</t>
  </si>
  <si>
    <t>узел по бланк-заказу</t>
  </si>
  <si>
    <t>Жидкостный нагреватель предварительного нагрева</t>
  </si>
  <si>
    <t>Электронагреватель предварительного нагрева</t>
  </si>
  <si>
    <t>Приточная часть</t>
  </si>
  <si>
    <t>Вытяжная часть</t>
  </si>
  <si>
    <t xml:space="preserve">Фильтры </t>
  </si>
  <si>
    <t>Клапан рециркуляция (привод без концевого выключателя)</t>
  </si>
  <si>
    <t>Клапан рециркуляция (привод с концевым выключателем)</t>
  </si>
  <si>
    <t>Клапан обводного канала рекуператора (привод с концевым выключателем)</t>
  </si>
  <si>
    <t>Клапан обводного канала рекуператора (привод без концевого выключателя)</t>
  </si>
  <si>
    <t>Жидкостный (гликолевый) теплоутилизатор</t>
  </si>
  <si>
    <t>Роторный теплоутилизатор (подключение с использованием частотного преобразователя)</t>
  </si>
  <si>
    <t>Жидкостный (водяной) нагреватель приточного воздуха</t>
  </si>
  <si>
    <t>Электронагреватель приточного воздуха</t>
  </si>
  <si>
    <t>Осн/рез приточные вентиляторы</t>
  </si>
  <si>
    <t>Осн/рез вытяжные вентиляторы</t>
  </si>
  <si>
    <t>Отсечные клапаны (привод с концевым выключателем)</t>
  </si>
  <si>
    <t>Клапан вытяжки (привод с концевым выключателем)</t>
  </si>
  <si>
    <t>Клапан вытяжки (привод без концевого выключателя)</t>
  </si>
  <si>
    <t>Мощность обогрева клапана (при наличии)</t>
  </si>
  <si>
    <t>Жидкостный (водяной охладитель)</t>
  </si>
  <si>
    <t>Фреоновый охладитель</t>
  </si>
  <si>
    <t>1 ступень включения</t>
  </si>
  <si>
    <t>2 ступени включения</t>
  </si>
  <si>
    <t>Увлажнитель воздуха</t>
  </si>
  <si>
    <t>паровой</t>
  </si>
  <si>
    <t>сотовый</t>
  </si>
  <si>
    <t>форсуночный</t>
  </si>
  <si>
    <t>Общая длина термостата.</t>
  </si>
  <si>
    <t>общ.ввод</t>
  </si>
  <si>
    <t>1 категория</t>
  </si>
  <si>
    <t>Капиллярный термостат, с комплектом монтажных частей (длина капиллярной линии 4 м), защита теплообменника от заморозки по воздуху</t>
  </si>
  <si>
    <t>Капиллярный термостат, с комплектом монтажных частей (длина капиллярной линии 12 м), защита теплообменника от заморозки по воздуху</t>
  </si>
  <si>
    <t>TS-E01 ECO NTC10k (3950)</t>
  </si>
  <si>
    <t>Настенный датчик температуры воздуха с комплектом монтажных частей, измерение температуры наружного воздуха</t>
  </si>
  <si>
    <t>TS-R00 ECO NTC10k (3950)</t>
  </si>
  <si>
    <r>
      <t xml:space="preserve">     Перечень КИП, подключаемых к шкафу управления </t>
    </r>
    <r>
      <rPr>
        <sz val="14"/>
        <color theme="0"/>
        <rFont val="Times New Roman"/>
        <family val="1"/>
        <charset val="204"/>
      </rPr>
      <t>(указанные
     приборы смонтированы на установке)</t>
    </r>
    <r>
      <rPr>
        <b/>
        <sz val="14"/>
        <color theme="0"/>
        <rFont val="Times New Roman"/>
        <family val="1"/>
        <charset val="204"/>
      </rPr>
      <t>:</t>
    </r>
  </si>
  <si>
    <t xml:space="preserve">     Дополнительные требования к системе:</t>
  </si>
  <si>
    <t xml:space="preserve">     Сигналы:</t>
  </si>
  <si>
    <t>Исходящие сигналы:</t>
  </si>
  <si>
    <t>Входящие сигналы:</t>
  </si>
  <si>
    <t xml:space="preserve">     Удаленное управление:</t>
  </si>
  <si>
    <t xml:space="preserve">   Без подключения к системе диспетчеризации</t>
  </si>
  <si>
    <t xml:space="preserve">   Протокол передачи данных Modbus RTU (RS-485)</t>
  </si>
  <si>
    <t xml:space="preserve">   Протокол передачи данных Modbus TCP ( 1 порт Ethernet)</t>
  </si>
  <si>
    <t xml:space="preserve">   Протокол передачи данных Modbus TCP ( 2 порта Ethernet)</t>
  </si>
  <si>
    <t xml:space="preserve">   Протокол передачи данных Bacnet  ( 1 порт Ethernet)</t>
  </si>
  <si>
    <t xml:space="preserve">   Протокол передачи данных Bacnet  ( 2 портf Ethernet)</t>
  </si>
  <si>
    <t xml:space="preserve">   Протокол передачи данных PROFINET  ( 1 порт Ethernet)</t>
  </si>
  <si>
    <t xml:space="preserve">   Протокол передачи данных PROFINET  ( 2 порта Ethernet - кольцевая сеть)</t>
  </si>
  <si>
    <t xml:space="preserve">   Протокол передачи данных Modbus TCP ( 1 порт волоконно-оптической линии связи)</t>
  </si>
  <si>
    <t xml:space="preserve">   Протокол передачи данных Bacnet  ( 1 порт волоконно-оптической линии связи)</t>
  </si>
  <si>
    <t xml:space="preserve">   протокол передачи данных по требованию заказчика</t>
  </si>
  <si>
    <t xml:space="preserve">   Удаленное управление через WEB-диспетчеризацию</t>
  </si>
  <si>
    <t xml:space="preserve">        СОГЛАСОВАНО:</t>
  </si>
  <si>
    <t xml:space="preserve">        Заказчик:  ________________________________________дата:__________________г.</t>
  </si>
  <si>
    <t xml:space="preserve">        Проектная организация:____________________________дата:__________________г.</t>
  </si>
  <si>
    <t xml:space="preserve">Электрический догреватель приточного воздуха </t>
  </si>
  <si>
    <t>Р насоса</t>
  </si>
  <si>
    <t>U питания</t>
  </si>
  <si>
    <t>Р нагрева общ.</t>
  </si>
  <si>
    <t>P насоса</t>
  </si>
  <si>
    <t>P двигателя</t>
  </si>
  <si>
    <t xml:space="preserve">I номинальный </t>
  </si>
  <si>
    <t>P, Q макс</t>
  </si>
  <si>
    <t xml:space="preserve">U питания </t>
  </si>
  <si>
    <t>P общая</t>
  </si>
  <si>
    <t>U питания  макс.</t>
  </si>
  <si>
    <t xml:space="preserve">Мощности догревателей (N1+N2+…) кВт: </t>
  </si>
  <si>
    <t>VEINARD CB</t>
  </si>
  <si>
    <t>№</t>
  </si>
  <si>
    <t>(</t>
  </si>
  <si>
    <t>К</t>
  </si>
  <si>
    <t>Ф</t>
  </si>
  <si>
    <t>ПНв</t>
  </si>
  <si>
    <t>Рц</t>
  </si>
  <si>
    <t>Нп</t>
  </si>
  <si>
    <t>Нэ</t>
  </si>
  <si>
    <t>Нв</t>
  </si>
  <si>
    <t>Паровой нагреватель приточного воздуха</t>
  </si>
  <si>
    <t>П</t>
  </si>
  <si>
    <t>Пр</t>
  </si>
  <si>
    <t>ТУв</t>
  </si>
  <si>
    <t>ТУп</t>
  </si>
  <si>
    <t>ТУр</t>
  </si>
  <si>
    <t>Ко</t>
  </si>
  <si>
    <t>)</t>
  </si>
  <si>
    <t>Ов</t>
  </si>
  <si>
    <t>Оф</t>
  </si>
  <si>
    <t>Уп</t>
  </si>
  <si>
    <t>Ус</t>
  </si>
  <si>
    <t>Уф</t>
  </si>
  <si>
    <t>Дэ</t>
  </si>
  <si>
    <t>Вр</t>
  </si>
  <si>
    <t>ПНэ</t>
  </si>
  <si>
    <t xml:space="preserve">        Разработчик:_______________________________________дата___________________г.</t>
  </si>
  <si>
    <t>Пластинчатый рекуператор без обводного канала</t>
  </si>
  <si>
    <t>привод клапана отсутствует</t>
  </si>
  <si>
    <t>Приточные отсечные клапаны (привод с концевым выключателем)</t>
  </si>
  <si>
    <t>Приточные отсечные клапаны (привод без концевого выключателя)</t>
  </si>
  <si>
    <t>Вытяжные отсечные клапаны (привод с концевым выключателем)</t>
  </si>
  <si>
    <t>Вытяжные отсечные клапаны (привод без концевого выключателя)</t>
  </si>
  <si>
    <t>К Л И М А Т И Ч Е С К О Е  О Б О Р У Д О В А Н И Е  Д Л Я  С И С Т Е М  О В и К</t>
  </si>
  <si>
    <t>WWW.VEINARD.RU     |     INFO@VEINARD.RU     |     +7 (495) 795-52-75</t>
  </si>
  <si>
    <t xml:space="preserve">     Маркировка шкафа управления:</t>
  </si>
  <si>
    <t>VEINARD UR 09-1-R-B-TM-F</t>
  </si>
  <si>
    <t>VEINARD UR 08-1-R-B-TM-F</t>
  </si>
  <si>
    <t>VEINARD UR 07-1-R-B-TM-F</t>
  </si>
  <si>
    <t>VEINARD UR 06-1-R-B-TM-F</t>
  </si>
  <si>
    <t>VEINARD UR 05-1-R-B-TM-F</t>
  </si>
  <si>
    <t>VEINARD UR 04-1-R-B-TM-F</t>
  </si>
  <si>
    <t>VEINARD UR 03-1-R-B-TM-F</t>
  </si>
  <si>
    <t>VEINARD UR 02-1-R-B-TM-F</t>
  </si>
  <si>
    <t>VEINARD UR 01-1-R-B-TM-F</t>
  </si>
  <si>
    <t>VEINARD UR 09-1-R-B-0-F</t>
  </si>
  <si>
    <t>VEINARD UR 08-1-R-B-0-F</t>
  </si>
  <si>
    <t>VEINARD UR 07-1-R-B-0-F</t>
  </si>
  <si>
    <t>VEINARD UR 06-1-R-B-0-F</t>
  </si>
  <si>
    <t>VEINARD UR 05-1-R-B-0-F</t>
  </si>
  <si>
    <t>VEINARD UR 04-1-R-B-0-F</t>
  </si>
  <si>
    <t>VEINARD UR 03-1-R-B-0-F</t>
  </si>
  <si>
    <t>VEINARD UR 02-1-R-B-0-F</t>
  </si>
  <si>
    <t>VEINARD UR 01-1-R-B-0-F</t>
  </si>
  <si>
    <t>встроенный регулятор, ЕС-двигатель</t>
  </si>
  <si>
    <t>3,0 кВт</t>
  </si>
  <si>
    <r>
      <t xml:space="preserve">     Перечень КИП и оборудования, подключаемых к шкафу управления
  </t>
    </r>
    <r>
      <rPr>
        <sz val="14"/>
        <color theme="0"/>
        <rFont val="Times New Roman"/>
        <family val="1"/>
        <charset val="204"/>
      </rPr>
      <t>(указанные приборы входят в комплект поставки, монтируются по месту)</t>
    </r>
    <r>
      <rPr>
        <b/>
        <sz val="14"/>
        <color theme="0"/>
        <rFont val="Times New Roman"/>
        <family val="1"/>
        <charset val="204"/>
      </rPr>
      <t>:</t>
    </r>
  </si>
  <si>
    <t>Проект:</t>
  </si>
  <si>
    <t>Система</t>
  </si>
  <si>
    <t>Дата</t>
  </si>
  <si>
    <t>П1</t>
  </si>
  <si>
    <t>LF32-05, IP54</t>
  </si>
  <si>
    <t>DS1-01(NTC10k), IP54</t>
  </si>
  <si>
    <t>TS-K-4, IP54</t>
  </si>
  <si>
    <t>TS-K-6, IP54</t>
  </si>
  <si>
    <t>TS-K-12, IP54</t>
  </si>
  <si>
    <t>HS1-01(NTC10k), IP54</t>
  </si>
  <si>
    <t>NF230A-S2, IP54, потр.мощн. 6 Вт</t>
  </si>
  <si>
    <t>LM230A-S, IP54, потр.мощн. 2 Вт</t>
  </si>
  <si>
    <t xml:space="preserve"> Обеспечить защиту от превышения температуры обратной воды
 Предусмотреть дополнительные клеммы для последовательного подключения второго сигнала "Пожар"
 Предусмотреть на дверце шкафа выносную панель управления, дублирующую функции основного дисплея</t>
  </si>
  <si>
    <t>LF230-S, IP54, потр.мощн. 5 Вт</t>
  </si>
  <si>
    <t>Подключение и управление двигателями вентиляторов с использованием частотных преобразователей Danfoss FC101 IP54 ( 15,0  кВт) - 2 шт. Частотные преобразователи в комплект поставки не входят, проходят отдельной строкой в КП или счете.
 Обеспечить АВР по питанию на 2 входа: 380 В - общее питание вентустановки и 220 В (1 категория) для питания цепей защиты теплообменника от заморозки</t>
  </si>
  <si>
    <t>NM230A-S, IP54, потр.мощн. 3 Вт</t>
  </si>
  <si>
    <t>220(230)+N+PE</t>
  </si>
  <si>
    <t xml:space="preserve">  Предусмотрен  ключ управления – МЕСТ/АВТО/ДУ и кнопки ПУСК/СТОП
В положении ключа МЕСТ (местное управление) запуск/останов установки осуществляется кнопками ПУСК/СТОП
В положение ключа АВТО -  управление пуск/стоп установки от внешних сигналов (выбор в меню контроллера (при наличии): расписание, от системы верхнего уровня, Н.О. сухого контакта.), 
В положении ключа ДУ – управление от  внешнего пульта дистанционного управления (ПДУ).
</t>
  </si>
  <si>
    <t>Сигнал АВАРИЯ, перекидной сухой контакт(два выхода - Н.О. и Н.З.)
Сигнал ПУСК ПУ/СТОП ПУ (Н.О. сухой контакт) - управление пароувлажнителем
Сигнал ПУСК ФО/СТОП ФО (Н.О. сухой контакт) - управление фреоновым охладителем</t>
  </si>
  <si>
    <t xml:space="preserve"> Выбор сезонного режима в меню контроллера или автоматически по датчику наружной температуры.
ЗИМА - нагрев приточного воздуха, увлажнение приточного воздуха паровым увлажнителем
ЛЕТО - охлаждение приточного воздуха
Предусмотреть подключение и управление узлом регулирующим  по бланк-заказу 21075M13001 - 2 шт.. Узел регулирующий в комплект поставки не входит, проходит отдельной строкой в КП или счете. 
 Предусмотрено управление паровым увлажнителем по сигналу ПУСК ПУ/СТОП ПУ (Н.О. сухой контакт) в режиме ЗИМА. Контроль и поддержание влажности осуществляется паровым увлажнителем по своим датчикам влажности.
 Предусмотрено поддержание температуры в помещении по датчику температуры, установленному в вытяжном канале</t>
  </si>
  <si>
    <t xml:space="preserve"> Принять сигнал АВАРИЯ ПУ (Н.О. сухой контакт) -  авария пароувлажнителя
Принять сигнал АВАРИЯ ФО (Н.О. сухой контакт) - авария фреонового охладителя</t>
  </si>
  <si>
    <t>21098М04001</t>
  </si>
  <si>
    <t>24.11.21 г.</t>
  </si>
  <si>
    <t>Реконструкция солдатской казармы войсковой части 22994 на пл. 111У в г. Мирный Архангельской области. Казарма на 400 военнослужащих.</t>
  </si>
  <si>
    <t>VEINARD CB-()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</si>
</sst>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7" formatCode="#,##0.00\ &quot;₽&quot;;\-#,##0.00\ &quot;₽&quot;"/>
    <numFmt numFmtId="164" formatCode="#,##0.00\ [$€-1]"/>
    <numFmt numFmtId="165" formatCode="#,##0.00\ &quot;₽&quot;;[Red]#,##0.00\ &quot;₽&quot;"/>
    <numFmt numFmtId="166" formatCode="#,##0.00\ &quot;₽&quot;"/>
    <numFmt numFmtId="167" formatCode="_-* #,##0.00\ [$€-1]_-;\-* #,##0.00\ [$€-1]_-;_-* &quot;-&quot;??\ [$€-1]_-;_-@_-"/>
  </numFmts>
  <fonts count="30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8"/>
      <color theme="1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0"/>
      <name val="Arial Cyr"/>
      <charset val="204"/>
    </font>
    <font>
      <sz val="10"/>
      <name val="Arial"/>
      <family val="2"/>
      <charset val="204"/>
    </font>
    <font>
      <sz val="11"/>
      <color theme="1"/>
      <name val="Arial Narrow"/>
      <family val="2"/>
      <charset val="204"/>
    </font>
    <font>
      <b/>
      <sz val="11"/>
      <color theme="1"/>
      <name val="Arial Narrow"/>
      <family val="2"/>
      <charset val="204"/>
    </font>
    <font>
      <sz val="11"/>
      <color rgb="FFFF0000"/>
      <name val="Arial Narrow"/>
      <family val="2"/>
      <charset val="204"/>
    </font>
    <font>
      <sz val="14"/>
      <color theme="1"/>
      <name val="Times New Roman"/>
      <family val="1"/>
      <charset val="204"/>
    </font>
    <font>
      <sz val="11"/>
      <color rgb="FF00B050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0"/>
      <name val="Times New Roman"/>
      <family val="1"/>
      <charset val="204"/>
    </font>
    <font>
      <sz val="14"/>
      <name val="Times New Roman"/>
      <family val="1"/>
      <charset val="204"/>
    </font>
    <font>
      <sz val="11"/>
      <color rgb="FF333333"/>
      <name val="Arial"/>
      <family val="2"/>
      <charset val="204"/>
    </font>
    <font>
      <b/>
      <sz val="14"/>
      <color theme="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sz val="14"/>
      <color theme="0"/>
      <name val="Times New Roman"/>
      <family val="1"/>
      <charset val="204"/>
    </font>
    <font>
      <sz val="8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16"/>
      <color theme="1"/>
      <name val="Times New Roman"/>
      <family val="1"/>
      <charset val="204"/>
    </font>
    <font>
      <sz val="8"/>
      <color theme="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39997558519241921"/>
        <bgColor theme="4" tint="0.79998168889431442"/>
      </patternFill>
    </fill>
    <fill>
      <patternFill patternType="solid">
        <fgColor rgb="FF92D050"/>
        <bgColor theme="4" tint="0.79998168889431442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39997558519241921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 tint="0.7999816888943144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 tint="0.79998168889431442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61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8" fillId="0" borderId="0"/>
    <xf numFmtId="0" fontId="9" fillId="0" borderId="0" applyNumberFormat="0" applyFont="0" applyFill="0" applyBorder="0" applyAlignment="0" applyProtection="0">
      <alignment vertical="top"/>
    </xf>
  </cellStyleXfs>
  <cellXfs count="562">
    <xf numFmtId="0" fontId="0" fillId="0" borderId="0" xfId="0"/>
    <xf numFmtId="0" fontId="0" fillId="0" borderId="0" xfId="0" applyAlignment="1">
      <alignment wrapText="1"/>
    </xf>
    <xf numFmtId="0" fontId="0" fillId="0" borderId="1" xfId="0" applyFont="1" applyBorder="1" applyAlignment="1">
      <alignment wrapText="1"/>
    </xf>
    <xf numFmtId="0" fontId="2" fillId="0" borderId="2" xfId="0" applyFont="1" applyBorder="1" applyAlignment="1">
      <alignment horizontal="center" vertical="center"/>
    </xf>
    <xf numFmtId="0" fontId="0" fillId="2" borderId="1" xfId="0" applyFont="1" applyFill="1" applyBorder="1" applyAlignment="1">
      <alignment wrapText="1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wrapText="1"/>
    </xf>
    <xf numFmtId="0" fontId="2" fillId="0" borderId="3" xfId="0" applyFont="1" applyFill="1" applyBorder="1" applyAlignment="1">
      <alignment horizontal="center" vertical="center"/>
    </xf>
    <xf numFmtId="0" fontId="0" fillId="0" borderId="0" xfId="0"/>
    <xf numFmtId="0" fontId="0" fillId="0" borderId="4" xfId="0" applyBorder="1"/>
    <xf numFmtId="0" fontId="0" fillId="0" borderId="0" xfId="0" quotePrefix="1"/>
    <xf numFmtId="0" fontId="0" fillId="0" borderId="0" xfId="0" applyBorder="1"/>
    <xf numFmtId="0" fontId="0" fillId="0" borderId="0" xfId="0" applyFont="1" applyBorder="1" applyAlignment="1">
      <alignment wrapText="1"/>
    </xf>
    <xf numFmtId="0" fontId="0" fillId="2" borderId="0" xfId="0" applyFont="1" applyFill="1" applyBorder="1" applyAlignment="1">
      <alignment wrapText="1"/>
    </xf>
    <xf numFmtId="0" fontId="3" fillId="2" borderId="0" xfId="0" applyFont="1" applyFill="1" applyBorder="1" applyAlignment="1">
      <alignment wrapText="1"/>
    </xf>
    <xf numFmtId="0" fontId="0" fillId="0" borderId="0" xfId="0" applyBorder="1"/>
    <xf numFmtId="0" fontId="0" fillId="0" borderId="16" xfId="0" applyBorder="1" applyAlignment="1">
      <alignment wrapText="1"/>
    </xf>
    <xf numFmtId="0" fontId="0" fillId="0" borderId="17" xfId="0" applyBorder="1"/>
    <xf numFmtId="0" fontId="0" fillId="0" borderId="18" xfId="0" applyBorder="1" applyAlignment="1">
      <alignment wrapText="1"/>
    </xf>
    <xf numFmtId="0" fontId="0" fillId="0" borderId="19" xfId="0" applyBorder="1" applyAlignment="1">
      <alignment wrapText="1"/>
    </xf>
    <xf numFmtId="0" fontId="0" fillId="0" borderId="20" xfId="0" applyBorder="1" applyAlignment="1">
      <alignment wrapText="1"/>
    </xf>
    <xf numFmtId="0" fontId="0" fillId="0" borderId="22" xfId="0" applyBorder="1"/>
    <xf numFmtId="0" fontId="0" fillId="0" borderId="16" xfId="0" applyBorder="1"/>
    <xf numFmtId="0" fontId="0" fillId="0" borderId="18" xfId="0" applyBorder="1"/>
    <xf numFmtId="0" fontId="5" fillId="0" borderId="19" xfId="0" applyFont="1" applyBorder="1"/>
    <xf numFmtId="0" fontId="0" fillId="0" borderId="20" xfId="0" applyBorder="1"/>
    <xf numFmtId="0" fontId="0" fillId="0" borderId="0" xfId="0" applyBorder="1" applyAlignment="1">
      <alignment wrapText="1"/>
    </xf>
    <xf numFmtId="0" fontId="0" fillId="0" borderId="21" xfId="0" applyBorder="1"/>
    <xf numFmtId="0" fontId="0" fillId="0" borderId="22" xfId="0" applyBorder="1" applyAlignment="1">
      <alignment wrapText="1"/>
    </xf>
    <xf numFmtId="0" fontId="0" fillId="0" borderId="23" xfId="0" applyBorder="1"/>
    <xf numFmtId="0" fontId="0" fillId="0" borderId="17" xfId="0" applyBorder="1" applyAlignment="1">
      <alignment wrapText="1"/>
    </xf>
    <xf numFmtId="0" fontId="0" fillId="0" borderId="19" xfId="0" applyBorder="1"/>
    <xf numFmtId="0" fontId="0" fillId="0" borderId="0" xfId="0" applyFill="1" applyBorder="1"/>
    <xf numFmtId="0" fontId="0" fillId="0" borderId="19" xfId="0" applyFill="1" applyBorder="1"/>
    <xf numFmtId="0" fontId="5" fillId="0" borderId="24" xfId="0" applyFont="1" applyFill="1" applyBorder="1"/>
    <xf numFmtId="0" fontId="5" fillId="0" borderId="25" xfId="0" applyFont="1" applyFill="1" applyBorder="1"/>
    <xf numFmtId="0" fontId="5" fillId="0" borderId="26" xfId="0" applyFont="1" applyFill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5" fillId="0" borderId="0" xfId="0" applyFont="1" applyBorder="1" applyAlignment="1">
      <alignment vertical="center" wrapText="1"/>
    </xf>
    <xf numFmtId="0" fontId="10" fillId="0" borderId="4" xfId="0" applyFont="1" applyBorder="1" applyAlignment="1">
      <alignment wrapText="1"/>
    </xf>
    <xf numFmtId="0" fontId="12" fillId="0" borderId="4" xfId="0" applyFont="1" applyBorder="1"/>
    <xf numFmtId="0" fontId="11" fillId="5" borderId="4" xfId="0" applyFont="1" applyFill="1" applyBorder="1"/>
    <xf numFmtId="0" fontId="10" fillId="0" borderId="4" xfId="0" applyFont="1" applyBorder="1" applyAlignment="1">
      <alignment vertical="top" wrapText="1"/>
    </xf>
    <xf numFmtId="0" fontId="11" fillId="5" borderId="13" xfId="0" applyNumberFormat="1" applyFont="1" applyFill="1" applyBorder="1" applyAlignment="1">
      <alignment horizontal="center" wrapText="1"/>
    </xf>
    <xf numFmtId="0" fontId="11" fillId="5" borderId="9" xfId="0" applyNumberFormat="1" applyFont="1" applyFill="1" applyBorder="1" applyAlignment="1">
      <alignment wrapText="1"/>
    </xf>
    <xf numFmtId="0" fontId="10" fillId="0" borderId="4" xfId="0" applyNumberFormat="1" applyFont="1" applyBorder="1" applyAlignment="1">
      <alignment vertical="top" wrapText="1"/>
    </xf>
    <xf numFmtId="0" fontId="0" fillId="0" borderId="0" xfId="0" applyNumberFormat="1"/>
    <xf numFmtId="0" fontId="0" fillId="0" borderId="4" xfId="0" applyBorder="1" applyAlignment="1">
      <alignment vertical="top"/>
    </xf>
    <xf numFmtId="0" fontId="0" fillId="0" borderId="0" xfId="0" applyAlignment="1">
      <alignment vertical="top"/>
    </xf>
    <xf numFmtId="0" fontId="0" fillId="0" borderId="0" xfId="0" applyBorder="1"/>
    <xf numFmtId="0" fontId="4" fillId="6" borderId="4" xfId="0" applyFont="1" applyFill="1" applyBorder="1" applyAlignment="1">
      <alignment horizontal="center"/>
    </xf>
    <xf numFmtId="164" fontId="0" fillId="0" borderId="0" xfId="0" applyNumberFormat="1"/>
    <xf numFmtId="166" fontId="0" fillId="0" borderId="0" xfId="0" applyNumberFormat="1"/>
    <xf numFmtId="164" fontId="10" fillId="2" borderId="4" xfId="0" applyNumberFormat="1" applyFont="1" applyFill="1" applyBorder="1" applyAlignment="1">
      <alignment vertical="top" wrapText="1"/>
    </xf>
    <xf numFmtId="0" fontId="11" fillId="5" borderId="8" xfId="0" applyFont="1" applyFill="1" applyBorder="1" applyAlignment="1">
      <alignment wrapText="1"/>
    </xf>
    <xf numFmtId="0" fontId="10" fillId="2" borderId="4" xfId="0" applyFont="1" applyFill="1" applyBorder="1" applyAlignment="1">
      <alignment vertical="top" wrapText="1"/>
    </xf>
    <xf numFmtId="165" fontId="10" fillId="2" borderId="4" xfId="0" applyNumberFormat="1" applyFont="1" applyFill="1" applyBorder="1" applyAlignment="1">
      <alignment vertical="top" wrapText="1"/>
    </xf>
    <xf numFmtId="0" fontId="0" fillId="0" borderId="4" xfId="0" applyFont="1" applyBorder="1"/>
    <xf numFmtId="165" fontId="10" fillId="0" borderId="4" xfId="0" applyNumberFormat="1" applyFont="1" applyBorder="1" applyAlignment="1">
      <alignment vertical="top" wrapText="1"/>
    </xf>
    <xf numFmtId="164" fontId="10" fillId="0" borderId="4" xfId="0" applyNumberFormat="1" applyFont="1" applyBorder="1" applyAlignment="1">
      <alignment vertical="top" wrapText="1"/>
    </xf>
    <xf numFmtId="0" fontId="0" fillId="2" borderId="4" xfId="0" applyFont="1" applyFill="1" applyBorder="1" applyAlignment="1">
      <alignment vertical="top"/>
    </xf>
    <xf numFmtId="0" fontId="10" fillId="0" borderId="4" xfId="0" applyFont="1" applyBorder="1" applyAlignment="1">
      <alignment vertical="top"/>
    </xf>
    <xf numFmtId="0" fontId="0" fillId="7" borderId="4" xfId="0" applyFill="1" applyBorder="1"/>
    <xf numFmtId="0" fontId="0" fillId="7" borderId="4" xfId="0" applyFont="1" applyFill="1" applyBorder="1"/>
    <xf numFmtId="0" fontId="10" fillId="7" borderId="4" xfId="0" applyFont="1" applyFill="1" applyBorder="1" applyAlignment="1">
      <alignment vertical="top" wrapText="1"/>
    </xf>
    <xf numFmtId="164" fontId="10" fillId="7" borderId="4" xfId="0" applyNumberFormat="1" applyFont="1" applyFill="1" applyBorder="1" applyAlignment="1">
      <alignment vertical="top" wrapText="1"/>
    </xf>
    <xf numFmtId="165" fontId="10" fillId="7" borderId="4" xfId="0" applyNumberFormat="1" applyFont="1" applyFill="1" applyBorder="1" applyAlignment="1">
      <alignment vertical="top" wrapText="1"/>
    </xf>
    <xf numFmtId="0" fontId="0" fillId="8" borderId="4" xfId="0" applyFont="1" applyFill="1" applyBorder="1"/>
    <xf numFmtId="0" fontId="10" fillId="8" borderId="4" xfId="0" applyFont="1" applyFill="1" applyBorder="1" applyAlignment="1">
      <alignment vertical="top" wrapText="1"/>
    </xf>
    <xf numFmtId="164" fontId="10" fillId="8" borderId="4" xfId="0" applyNumberFormat="1" applyFont="1" applyFill="1" applyBorder="1" applyAlignment="1">
      <alignment vertical="top" wrapText="1"/>
    </xf>
    <xf numFmtId="0" fontId="0" fillId="9" borderId="4" xfId="0" applyFill="1" applyBorder="1"/>
    <xf numFmtId="0" fontId="0" fillId="9" borderId="4" xfId="0" applyFont="1" applyFill="1" applyBorder="1"/>
    <xf numFmtId="0" fontId="10" fillId="9" borderId="4" xfId="0" applyFont="1" applyFill="1" applyBorder="1" applyAlignment="1">
      <alignment vertical="top" wrapText="1"/>
    </xf>
    <xf numFmtId="164" fontId="10" fillId="9" borderId="4" xfId="0" applyNumberFormat="1" applyFont="1" applyFill="1" applyBorder="1" applyAlignment="1">
      <alignment vertical="top" wrapText="1"/>
    </xf>
    <xf numFmtId="0" fontId="0" fillId="10" borderId="4" xfId="0" applyFont="1" applyFill="1" applyBorder="1"/>
    <xf numFmtId="0" fontId="10" fillId="10" borderId="4" xfId="0" applyFont="1" applyFill="1" applyBorder="1" applyAlignment="1">
      <alignment vertical="top" wrapText="1"/>
    </xf>
    <xf numFmtId="164" fontId="10" fillId="10" borderId="4" xfId="0" applyNumberFormat="1" applyFont="1" applyFill="1" applyBorder="1" applyAlignment="1">
      <alignment vertical="top" wrapText="1"/>
    </xf>
    <xf numFmtId="0" fontId="0" fillId="3" borderId="4" xfId="0" applyFill="1" applyBorder="1"/>
    <xf numFmtId="0" fontId="0" fillId="3" borderId="4" xfId="0" applyFont="1" applyFill="1" applyBorder="1"/>
    <xf numFmtId="0" fontId="10" fillId="3" borderId="4" xfId="0" applyFont="1" applyFill="1" applyBorder="1" applyAlignment="1">
      <alignment vertical="top" wrapText="1"/>
    </xf>
    <xf numFmtId="0" fontId="0" fillId="11" borderId="4" xfId="0" applyFont="1" applyFill="1" applyBorder="1"/>
    <xf numFmtId="0" fontId="10" fillId="11" borderId="4" xfId="0" applyFont="1" applyFill="1" applyBorder="1" applyAlignment="1">
      <alignment vertical="top" wrapText="1"/>
    </xf>
    <xf numFmtId="0" fontId="0" fillId="6" borderId="4" xfId="0" applyFill="1" applyBorder="1"/>
    <xf numFmtId="0" fontId="0" fillId="6" borderId="4" xfId="0" applyFont="1" applyFill="1" applyBorder="1"/>
    <xf numFmtId="0" fontId="10" fillId="6" borderId="4" xfId="0" applyFont="1" applyFill="1" applyBorder="1" applyAlignment="1">
      <alignment vertical="top" wrapText="1"/>
    </xf>
    <xf numFmtId="164" fontId="10" fillId="6" borderId="4" xfId="0" applyNumberFormat="1" applyFont="1" applyFill="1" applyBorder="1" applyAlignment="1">
      <alignment vertical="top" wrapText="1"/>
    </xf>
    <xf numFmtId="0" fontId="0" fillId="12" borderId="4" xfId="0" applyFont="1" applyFill="1" applyBorder="1"/>
    <xf numFmtId="0" fontId="10" fillId="12" borderId="4" xfId="0" applyFont="1" applyFill="1" applyBorder="1" applyAlignment="1">
      <alignment vertical="top" wrapText="1"/>
    </xf>
    <xf numFmtId="164" fontId="10" fillId="12" borderId="4" xfId="0" applyNumberFormat="1" applyFont="1" applyFill="1" applyBorder="1" applyAlignment="1">
      <alignment vertical="top" wrapText="1"/>
    </xf>
    <xf numFmtId="0" fontId="0" fillId="13" borderId="4" xfId="0" applyFill="1" applyBorder="1"/>
    <xf numFmtId="0" fontId="0" fillId="13" borderId="4" xfId="0" applyFont="1" applyFill="1" applyBorder="1"/>
    <xf numFmtId="0" fontId="10" fillId="13" borderId="4" xfId="0" applyFont="1" applyFill="1" applyBorder="1" applyAlignment="1">
      <alignment vertical="top" wrapText="1"/>
    </xf>
    <xf numFmtId="164" fontId="10" fillId="13" borderId="4" xfId="0" applyNumberFormat="1" applyFont="1" applyFill="1" applyBorder="1" applyAlignment="1">
      <alignment vertical="top" wrapText="1"/>
    </xf>
    <xf numFmtId="0" fontId="0" fillId="14" borderId="4" xfId="0" applyFont="1" applyFill="1" applyBorder="1"/>
    <xf numFmtId="0" fontId="10" fillId="14" borderId="4" xfId="0" applyFont="1" applyFill="1" applyBorder="1" applyAlignment="1">
      <alignment vertical="top" wrapText="1"/>
    </xf>
    <xf numFmtId="164" fontId="10" fillId="14" borderId="4" xfId="0" applyNumberFormat="1" applyFont="1" applyFill="1" applyBorder="1" applyAlignment="1">
      <alignment vertical="top" wrapText="1"/>
    </xf>
    <xf numFmtId="0" fontId="0" fillId="15" borderId="4" xfId="0" applyFill="1" applyBorder="1"/>
    <xf numFmtId="0" fontId="0" fillId="15" borderId="4" xfId="0" applyFont="1" applyFill="1" applyBorder="1"/>
    <xf numFmtId="0" fontId="10" fillId="15" borderId="4" xfId="0" applyFont="1" applyFill="1" applyBorder="1" applyAlignment="1">
      <alignment vertical="top" wrapText="1"/>
    </xf>
    <xf numFmtId="164" fontId="10" fillId="15" borderId="4" xfId="0" applyNumberFormat="1" applyFont="1" applyFill="1" applyBorder="1" applyAlignment="1">
      <alignment vertical="top" wrapText="1"/>
    </xf>
    <xf numFmtId="0" fontId="0" fillId="16" borderId="4" xfId="0" applyFont="1" applyFill="1" applyBorder="1"/>
    <xf numFmtId="0" fontId="10" fillId="16" borderId="4" xfId="0" applyFont="1" applyFill="1" applyBorder="1" applyAlignment="1">
      <alignment vertical="top" wrapText="1"/>
    </xf>
    <xf numFmtId="164" fontId="10" fillId="16" borderId="4" xfId="0" applyNumberFormat="1" applyFont="1" applyFill="1" applyBorder="1" applyAlignment="1">
      <alignment vertical="top" wrapText="1"/>
    </xf>
    <xf numFmtId="0" fontId="0" fillId="17" borderId="4" xfId="0" applyFill="1" applyBorder="1"/>
    <xf numFmtId="0" fontId="0" fillId="17" borderId="4" xfId="0" applyFont="1" applyFill="1" applyBorder="1"/>
    <xf numFmtId="0" fontId="10" fillId="17" borderId="4" xfId="0" applyFont="1" applyFill="1" applyBorder="1" applyAlignment="1">
      <alignment vertical="top" wrapText="1"/>
    </xf>
    <xf numFmtId="164" fontId="10" fillId="17" borderId="4" xfId="0" applyNumberFormat="1" applyFont="1" applyFill="1" applyBorder="1" applyAlignment="1">
      <alignment vertical="top" wrapText="1"/>
    </xf>
    <xf numFmtId="165" fontId="10" fillId="17" borderId="4" xfId="0" applyNumberFormat="1" applyFont="1" applyFill="1" applyBorder="1" applyAlignment="1">
      <alignment vertical="top" wrapText="1"/>
    </xf>
    <xf numFmtId="0" fontId="0" fillId="18" borderId="4" xfId="0" applyFont="1" applyFill="1" applyBorder="1"/>
    <xf numFmtId="0" fontId="10" fillId="18" borderId="4" xfId="0" applyFont="1" applyFill="1" applyBorder="1" applyAlignment="1">
      <alignment vertical="top" wrapText="1"/>
    </xf>
    <xf numFmtId="164" fontId="10" fillId="18" borderId="4" xfId="0" applyNumberFormat="1" applyFont="1" applyFill="1" applyBorder="1" applyAlignment="1">
      <alignment vertical="top" wrapText="1"/>
    </xf>
    <xf numFmtId="165" fontId="10" fillId="18" borderId="4" xfId="0" applyNumberFormat="1" applyFont="1" applyFill="1" applyBorder="1" applyAlignment="1">
      <alignment vertical="top" wrapText="1"/>
    </xf>
    <xf numFmtId="0" fontId="0" fillId="19" borderId="4" xfId="0" applyFill="1" applyBorder="1"/>
    <xf numFmtId="0" fontId="0" fillId="19" borderId="4" xfId="0" applyFont="1" applyFill="1" applyBorder="1"/>
    <xf numFmtId="0" fontId="10" fillId="19" borderId="4" xfId="0" applyFont="1" applyFill="1" applyBorder="1" applyAlignment="1">
      <alignment vertical="top" wrapText="1"/>
    </xf>
    <xf numFmtId="164" fontId="10" fillId="19" borderId="4" xfId="0" applyNumberFormat="1" applyFont="1" applyFill="1" applyBorder="1" applyAlignment="1">
      <alignment vertical="top" wrapText="1"/>
    </xf>
    <xf numFmtId="165" fontId="10" fillId="19" borderId="4" xfId="0" applyNumberFormat="1" applyFont="1" applyFill="1" applyBorder="1" applyAlignment="1">
      <alignment vertical="top" wrapText="1"/>
    </xf>
    <xf numFmtId="0" fontId="0" fillId="19" borderId="4" xfId="0" applyFill="1" applyBorder="1" applyAlignment="1">
      <alignment vertical="top"/>
    </xf>
    <xf numFmtId="0" fontId="0" fillId="20" borderId="4" xfId="0" applyFont="1" applyFill="1" applyBorder="1" applyAlignment="1">
      <alignment vertical="top"/>
    </xf>
    <xf numFmtId="0" fontId="10" fillId="20" borderId="4" xfId="0" applyFont="1" applyFill="1" applyBorder="1" applyAlignment="1">
      <alignment vertical="top" wrapText="1"/>
    </xf>
    <xf numFmtId="164" fontId="10" fillId="20" borderId="4" xfId="0" applyNumberFormat="1" applyFont="1" applyFill="1" applyBorder="1" applyAlignment="1">
      <alignment vertical="top" wrapText="1"/>
    </xf>
    <xf numFmtId="165" fontId="10" fillId="20" borderId="4" xfId="0" applyNumberFormat="1" applyFont="1" applyFill="1" applyBorder="1" applyAlignment="1">
      <alignment vertical="top" wrapText="1"/>
    </xf>
    <xf numFmtId="0" fontId="0" fillId="20" borderId="4" xfId="0" applyFont="1" applyFill="1" applyBorder="1"/>
    <xf numFmtId="0" fontId="0" fillId="17" borderId="4" xfId="0" applyFill="1" applyBorder="1" applyAlignment="1">
      <alignment vertical="top"/>
    </xf>
    <xf numFmtId="0" fontId="0" fillId="17" borderId="4" xfId="0" applyFont="1" applyFill="1" applyBorder="1" applyAlignment="1">
      <alignment vertical="top"/>
    </xf>
    <xf numFmtId="0" fontId="0" fillId="21" borderId="4" xfId="0" applyFill="1" applyBorder="1"/>
    <xf numFmtId="0" fontId="0" fillId="21" borderId="4" xfId="0" applyFont="1" applyFill="1" applyBorder="1"/>
    <xf numFmtId="0" fontId="10" fillId="21" borderId="4" xfId="0" applyFont="1" applyFill="1" applyBorder="1" applyAlignment="1">
      <alignment vertical="top" wrapText="1"/>
    </xf>
    <xf numFmtId="164" fontId="10" fillId="21" borderId="4" xfId="0" applyNumberFormat="1" applyFont="1" applyFill="1" applyBorder="1" applyAlignment="1">
      <alignment vertical="top" wrapText="1"/>
    </xf>
    <xf numFmtId="165" fontId="10" fillId="21" borderId="4" xfId="0" applyNumberFormat="1" applyFont="1" applyFill="1" applyBorder="1" applyAlignment="1">
      <alignment vertical="top" wrapText="1"/>
    </xf>
    <xf numFmtId="0" fontId="0" fillId="22" borderId="4" xfId="0" applyFont="1" applyFill="1" applyBorder="1"/>
    <xf numFmtId="0" fontId="10" fillId="22" borderId="4" xfId="0" applyFont="1" applyFill="1" applyBorder="1" applyAlignment="1">
      <alignment vertical="top" wrapText="1"/>
    </xf>
    <xf numFmtId="164" fontId="10" fillId="22" borderId="4" xfId="0" applyNumberFormat="1" applyFont="1" applyFill="1" applyBorder="1" applyAlignment="1">
      <alignment vertical="top" wrapText="1"/>
    </xf>
    <xf numFmtId="165" fontId="10" fillId="22" borderId="4" xfId="0" applyNumberFormat="1" applyFont="1" applyFill="1" applyBorder="1" applyAlignment="1">
      <alignment vertical="top" wrapText="1"/>
    </xf>
    <xf numFmtId="0" fontId="10" fillId="21" borderId="4" xfId="0" applyFont="1" applyFill="1" applyBorder="1" applyAlignment="1">
      <alignment wrapText="1"/>
    </xf>
    <xf numFmtId="165" fontId="10" fillId="8" borderId="4" xfId="0" applyNumberFormat="1" applyFont="1" applyFill="1" applyBorder="1" applyAlignment="1">
      <alignment vertical="top" wrapText="1"/>
    </xf>
    <xf numFmtId="0" fontId="10" fillId="11" borderId="4" xfId="0" applyFont="1" applyFill="1" applyBorder="1" applyAlignment="1">
      <alignment vertical="top"/>
    </xf>
    <xf numFmtId="164" fontId="10" fillId="11" borderId="4" xfId="0" applyNumberFormat="1" applyFont="1" applyFill="1" applyBorder="1" applyAlignment="1">
      <alignment wrapText="1"/>
    </xf>
    <xf numFmtId="164" fontId="10" fillId="3" borderId="4" xfId="0" applyNumberFormat="1" applyFont="1" applyFill="1" applyBorder="1" applyAlignment="1">
      <alignment wrapText="1"/>
    </xf>
    <xf numFmtId="0" fontId="5" fillId="0" borderId="25" xfId="0" applyFont="1" applyBorder="1"/>
    <xf numFmtId="0" fontId="0" fillId="0" borderId="4" xfId="0" applyBorder="1" applyAlignment="1">
      <alignment horizontal="center" vertical="center"/>
    </xf>
    <xf numFmtId="0" fontId="0" fillId="0" borderId="0" xfId="0"/>
    <xf numFmtId="0" fontId="10" fillId="0" borderId="0" xfId="0" applyFont="1" applyFill="1" applyBorder="1" applyAlignment="1">
      <alignment vertical="top" wrapText="1"/>
    </xf>
    <xf numFmtId="0" fontId="0" fillId="0" borderId="0" xfId="0" applyFill="1"/>
    <xf numFmtId="0" fontId="0" fillId="0" borderId="0" xfId="0"/>
    <xf numFmtId="0" fontId="5" fillId="0" borderId="0" xfId="0" applyFont="1"/>
    <xf numFmtId="0" fontId="5" fillId="0" borderId="0" xfId="0" applyFont="1" applyFill="1" applyBorder="1"/>
    <xf numFmtId="0" fontId="5" fillId="0" borderId="8" xfId="0" applyFont="1" applyFill="1" applyBorder="1"/>
    <xf numFmtId="0" fontId="5" fillId="0" borderId="27" xfId="0" applyFont="1" applyFill="1" applyBorder="1"/>
    <xf numFmtId="0" fontId="5" fillId="0" borderId="9" xfId="0" applyFont="1" applyFill="1" applyBorder="1"/>
    <xf numFmtId="0" fontId="6" fillId="0" borderId="0" xfId="0" applyFont="1" applyFill="1" applyBorder="1"/>
    <xf numFmtId="0" fontId="6" fillId="0" borderId="0" xfId="0" applyFont="1" applyFill="1" applyBorder="1" applyAlignment="1">
      <alignment horizontal="center"/>
    </xf>
    <xf numFmtId="0" fontId="0" fillId="0" borderId="0" xfId="0"/>
    <xf numFmtId="0" fontId="10" fillId="0" borderId="4" xfId="0" applyFont="1" applyFill="1" applyBorder="1" applyAlignment="1">
      <alignment vertical="top" wrapText="1"/>
    </xf>
    <xf numFmtId="0" fontId="0" fillId="0" borderId="28" xfId="0" applyBorder="1" applyAlignment="1">
      <alignment vertical="top"/>
    </xf>
    <xf numFmtId="0" fontId="0" fillId="0" borderId="30" xfId="0" applyFill="1" applyBorder="1" applyAlignment="1">
      <alignment horizontal="center" vertical="top"/>
    </xf>
    <xf numFmtId="0" fontId="0" fillId="0" borderId="44" xfId="0" applyFill="1" applyBorder="1" applyAlignment="1">
      <alignment horizontal="center" vertical="top"/>
    </xf>
    <xf numFmtId="0" fontId="0" fillId="0" borderId="48" xfId="0" applyBorder="1" applyAlignment="1">
      <alignment vertical="top"/>
    </xf>
    <xf numFmtId="0" fontId="0" fillId="0" borderId="49" xfId="0" applyFill="1" applyBorder="1" applyAlignment="1">
      <alignment horizontal="center" vertical="top"/>
    </xf>
    <xf numFmtId="0" fontId="0" fillId="0" borderId="50" xfId="0" applyBorder="1" applyAlignment="1">
      <alignment vertical="top"/>
    </xf>
    <xf numFmtId="0" fontId="10" fillId="0" borderId="40" xfId="0" applyFont="1" applyFill="1" applyBorder="1" applyAlignment="1">
      <alignment horizontal="center" vertical="center" wrapText="1"/>
    </xf>
    <xf numFmtId="0" fontId="10" fillId="0" borderId="9" xfId="0" applyFont="1" applyFill="1" applyBorder="1" applyAlignment="1">
      <alignment horizontal="center" vertical="top" wrapText="1"/>
    </xf>
    <xf numFmtId="0" fontId="10" fillId="0" borderId="53" xfId="0" applyFont="1" applyFill="1" applyBorder="1" applyAlignment="1">
      <alignment horizontal="center" vertical="top" wrapText="1"/>
    </xf>
    <xf numFmtId="0" fontId="0" fillId="0" borderId="54" xfId="0" applyBorder="1" applyAlignment="1">
      <alignment vertical="top"/>
    </xf>
    <xf numFmtId="0" fontId="0" fillId="0" borderId="55" xfId="0" applyFill="1" applyBorder="1" applyAlignment="1">
      <alignment horizontal="center" vertical="top"/>
    </xf>
    <xf numFmtId="0" fontId="0" fillId="0" borderId="47" xfId="0" applyFill="1" applyBorder="1" applyAlignment="1">
      <alignment horizontal="center" vertical="top"/>
    </xf>
    <xf numFmtId="0" fontId="0" fillId="4" borderId="0" xfId="0" applyFill="1"/>
    <xf numFmtId="0" fontId="0" fillId="0" borderId="0" xfId="0" applyAlignment="1">
      <alignment vertical="top" wrapText="1"/>
    </xf>
    <xf numFmtId="0" fontId="4" fillId="0" borderId="4" xfId="0" applyFont="1" applyFill="1" applyBorder="1" applyAlignment="1">
      <alignment horizontal="center" vertical="top"/>
    </xf>
    <xf numFmtId="0" fontId="4" fillId="0" borderId="0" xfId="0" applyFont="1" applyFill="1"/>
    <xf numFmtId="0" fontId="4" fillId="0" borderId="0" xfId="0" applyFont="1" applyFill="1" applyBorder="1"/>
    <xf numFmtId="0" fontId="0" fillId="0" borderId="0" xfId="0"/>
    <xf numFmtId="49" fontId="0" fillId="0" borderId="0" xfId="0" applyNumberFormat="1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0" xfId="0" applyFill="1"/>
    <xf numFmtId="0" fontId="0" fillId="0" borderId="0" xfId="0" applyAlignment="1">
      <alignment vertical="top"/>
    </xf>
    <xf numFmtId="0" fontId="10" fillId="0" borderId="4" xfId="0" applyFont="1" applyFill="1" applyBorder="1" applyAlignment="1">
      <alignment vertical="top" wrapText="1"/>
    </xf>
    <xf numFmtId="0" fontId="0" fillId="0" borderId="0" xfId="0"/>
    <xf numFmtId="0" fontId="0" fillId="0" borderId="4" xfId="0" applyBorder="1"/>
    <xf numFmtId="0" fontId="0" fillId="0" borderId="0" xfId="0" applyNumberFormat="1"/>
    <xf numFmtId="164" fontId="10" fillId="0" borderId="4" xfId="0" applyNumberFormat="1" applyFont="1" applyFill="1" applyBorder="1" applyAlignment="1">
      <alignment wrapText="1"/>
    </xf>
    <xf numFmtId="165" fontId="10" fillId="0" borderId="4" xfId="0" applyNumberFormat="1" applyFont="1" applyFill="1" applyBorder="1" applyAlignment="1">
      <alignment vertical="top" wrapText="1"/>
    </xf>
    <xf numFmtId="164" fontId="10" fillId="0" borderId="4" xfId="0" applyNumberFormat="1" applyFont="1" applyFill="1" applyBorder="1" applyAlignment="1">
      <alignment vertical="top" wrapText="1"/>
    </xf>
    <xf numFmtId="0" fontId="14" fillId="3" borderId="0" xfId="0" applyFont="1" applyFill="1"/>
    <xf numFmtId="0" fontId="0" fillId="7" borderId="0" xfId="0" applyFill="1"/>
    <xf numFmtId="0" fontId="10" fillId="0" borderId="4" xfId="0" applyFont="1" applyFill="1" applyBorder="1" applyAlignment="1">
      <alignment vertical="top"/>
    </xf>
    <xf numFmtId="0" fontId="0" fillId="27" borderId="0" xfId="0" applyFill="1"/>
    <xf numFmtId="0" fontId="0" fillId="21" borderId="0" xfId="0" applyFill="1"/>
    <xf numFmtId="0" fontId="10" fillId="0" borderId="4" xfId="0" applyFont="1" applyFill="1" applyBorder="1" applyAlignment="1">
      <alignment wrapText="1"/>
    </xf>
    <xf numFmtId="0" fontId="0" fillId="19" borderId="0" xfId="0" applyFill="1"/>
    <xf numFmtId="0" fontId="0" fillId="28" borderId="0" xfId="0" applyFill="1"/>
    <xf numFmtId="0" fontId="0" fillId="29" borderId="0" xfId="0" applyFill="1"/>
    <xf numFmtId="0" fontId="0" fillId="17" borderId="0" xfId="0" applyFill="1"/>
    <xf numFmtId="0" fontId="0" fillId="6" borderId="0" xfId="0" applyFill="1"/>
    <xf numFmtId="0" fontId="0" fillId="26" borderId="0" xfId="0" applyFill="1"/>
    <xf numFmtId="0" fontId="10" fillId="0" borderId="15" xfId="0" applyNumberFormat="1" applyFont="1" applyBorder="1" applyAlignment="1">
      <alignment vertical="top" wrapText="1"/>
    </xf>
    <xf numFmtId="0" fontId="10" fillId="0" borderId="4" xfId="0" applyNumberFormat="1" applyFont="1" applyFill="1" applyBorder="1" applyAlignment="1">
      <alignment vertical="top" wrapText="1"/>
    </xf>
    <xf numFmtId="0" fontId="0" fillId="0" borderId="0" xfId="0"/>
    <xf numFmtId="0" fontId="0" fillId="0" borderId="0" xfId="0"/>
    <xf numFmtId="0" fontId="0" fillId="0" borderId="0" xfId="0"/>
    <xf numFmtId="0" fontId="10" fillId="0" borderId="4" xfId="0" applyFont="1" applyFill="1" applyBorder="1" applyAlignment="1">
      <alignment vertical="top" wrapText="1"/>
    </xf>
    <xf numFmtId="0" fontId="0" fillId="30" borderId="0" xfId="0" applyFill="1"/>
    <xf numFmtId="0" fontId="0" fillId="0" borderId="0" xfId="0"/>
    <xf numFmtId="0" fontId="11" fillId="5" borderId="8" xfId="0" applyFont="1" applyFill="1" applyBorder="1" applyAlignment="1">
      <alignment horizontal="center" wrapText="1"/>
    </xf>
    <xf numFmtId="0" fontId="11" fillId="5" borderId="9" xfId="0" applyFont="1" applyFill="1" applyBorder="1" applyAlignment="1">
      <alignment horizontal="center" wrapText="1"/>
    </xf>
    <xf numFmtId="0" fontId="4" fillId="0" borderId="0" xfId="0" applyNumberFormat="1" applyFont="1" applyFill="1"/>
    <xf numFmtId="0" fontId="4" fillId="0" borderId="4" xfId="0" applyNumberFormat="1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Alignmen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0" fillId="0" borderId="4" xfId="0" applyFont="1" applyBorder="1"/>
    <xf numFmtId="164" fontId="10" fillId="0" borderId="4" xfId="0" applyNumberFormat="1" applyFont="1" applyBorder="1" applyAlignment="1">
      <alignment wrapText="1"/>
    </xf>
    <xf numFmtId="0" fontId="10" fillId="31" borderId="4" xfId="0" applyFont="1" applyFill="1" applyBorder="1"/>
    <xf numFmtId="0" fontId="10" fillId="27" borderId="4" xfId="0" applyFont="1" applyFill="1" applyBorder="1" applyAlignment="1">
      <alignment horizontal="center" wrapText="1"/>
    </xf>
    <xf numFmtId="165" fontId="10" fillId="0" borderId="4" xfId="0" applyNumberFormat="1" applyFont="1" applyBorder="1" applyAlignment="1">
      <alignment wrapText="1"/>
    </xf>
    <xf numFmtId="167" fontId="0" fillId="0" borderId="0" xfId="0" applyNumberFormat="1"/>
    <xf numFmtId="0" fontId="0" fillId="0" borderId="0" xfId="0"/>
    <xf numFmtId="0" fontId="10" fillId="0" borderId="0" xfId="0" applyFont="1" applyFill="1" applyBorder="1" applyAlignment="1">
      <alignment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vertical="top"/>
    </xf>
    <xf numFmtId="0" fontId="16" fillId="0" borderId="0" xfId="0" applyFont="1" applyFill="1" applyBorder="1" applyAlignment="1">
      <alignment horizontal="center" vertical="center"/>
    </xf>
    <xf numFmtId="3" fontId="17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left" vertical="top" wrapText="1"/>
    </xf>
    <xf numFmtId="0" fontId="4" fillId="0" borderId="0" xfId="0" applyFont="1"/>
    <xf numFmtId="0" fontId="4" fillId="0" borderId="0" xfId="0" applyFont="1" applyFill="1" applyAlignment="1">
      <alignment vertical="top"/>
    </xf>
    <xf numFmtId="0" fontId="6" fillId="0" borderId="4" xfId="0" applyFont="1" applyFill="1" applyBorder="1" applyAlignment="1">
      <alignment horizontal="center"/>
    </xf>
    <xf numFmtId="0" fontId="4" fillId="0" borderId="0" xfId="0" applyNumberFormat="1" applyFont="1" applyFill="1" applyAlignment="1">
      <alignment vertical="top"/>
    </xf>
    <xf numFmtId="0" fontId="4" fillId="0" borderId="0" xfId="0" applyFont="1" applyAlignment="1">
      <alignment horizontal="left" vertical="center"/>
    </xf>
    <xf numFmtId="0" fontId="4" fillId="4" borderId="0" xfId="0" applyFont="1" applyFill="1"/>
    <xf numFmtId="7" fontId="4" fillId="0" borderId="0" xfId="0" applyNumberFormat="1" applyFont="1" applyFill="1"/>
    <xf numFmtId="164" fontId="4" fillId="0" borderId="0" xfId="0" applyNumberFormat="1" applyFont="1" applyFill="1" applyBorder="1"/>
    <xf numFmtId="166" fontId="4" fillId="0" borderId="0" xfId="0" applyNumberFormat="1" applyFont="1" applyFill="1" applyBorder="1"/>
    <xf numFmtId="7" fontId="4" fillId="0" borderId="0" xfId="0" applyNumberFormat="1" applyFont="1" applyFill="1" applyBorder="1"/>
    <xf numFmtId="0" fontId="4" fillId="0" borderId="0" xfId="0" applyNumberFormat="1" applyFont="1" applyFill="1" applyBorder="1"/>
    <xf numFmtId="0" fontId="4" fillId="0" borderId="0" xfId="0" applyFont="1" applyFill="1" applyBorder="1" applyAlignment="1">
      <alignment vertical="top" wrapText="1"/>
    </xf>
    <xf numFmtId="0" fontId="4" fillId="0" borderId="0" xfId="0" applyNumberFormat="1" applyFont="1"/>
    <xf numFmtId="0" fontId="4" fillId="0" borderId="0" xfId="0" applyNumberFormat="1" applyFont="1" applyFill="1" applyBorder="1" applyAlignment="1">
      <alignment vertical="top" wrapText="1"/>
    </xf>
    <xf numFmtId="0" fontId="13" fillId="25" borderId="0" xfId="0" applyNumberFormat="1" applyFont="1" applyFill="1" applyBorder="1" applyAlignment="1">
      <alignment horizontal="center" vertical="center" wrapText="1"/>
    </xf>
    <xf numFmtId="0" fontId="19" fillId="24" borderId="0" xfId="0" applyNumberFormat="1" applyFont="1" applyFill="1" applyBorder="1" applyAlignment="1">
      <alignment horizontal="center" vertical="top" wrapText="1"/>
    </xf>
    <xf numFmtId="0" fontId="4" fillId="0" borderId="0" xfId="0" applyNumberFormat="1" applyFont="1" applyAlignment="1">
      <alignment vertical="top"/>
    </xf>
    <xf numFmtId="0" fontId="4" fillId="0" borderId="0" xfId="0" applyFont="1" applyAlignment="1">
      <alignment vertical="top"/>
    </xf>
    <xf numFmtId="0" fontId="18" fillId="0" borderId="0" xfId="0" applyFont="1" applyFill="1"/>
    <xf numFmtId="0" fontId="18" fillId="0" borderId="0" xfId="0" applyFont="1"/>
    <xf numFmtId="0" fontId="4" fillId="0" borderId="0" xfId="0" applyFont="1" applyFill="1" applyAlignment="1">
      <alignment horizontal="left" vertical="center"/>
    </xf>
    <xf numFmtId="0" fontId="4" fillId="0" borderId="0" xfId="0" applyNumberFormat="1" applyFont="1" applyAlignment="1">
      <alignment horizontal="left" vertical="center"/>
    </xf>
    <xf numFmtId="0" fontId="4" fillId="0" borderId="0" xfId="2" applyFont="1" applyFill="1" applyAlignment="1"/>
    <xf numFmtId="0" fontId="4" fillId="0" borderId="0" xfId="0" applyFont="1" applyFill="1"/>
    <xf numFmtId="0" fontId="6" fillId="0" borderId="56" xfId="0" applyNumberFormat="1" applyFont="1" applyFill="1" applyBorder="1" applyAlignment="1">
      <alignment horizontal="center"/>
    </xf>
    <xf numFmtId="0" fontId="4" fillId="0" borderId="0" xfId="0" applyFont="1" applyFill="1"/>
    <xf numFmtId="0" fontId="4" fillId="0" borderId="0" xfId="0" applyNumberFormat="1" applyFont="1"/>
    <xf numFmtId="0" fontId="4" fillId="0" borderId="0" xfId="0" applyNumberFormat="1" applyFont="1" applyAlignment="1">
      <alignment vertical="top"/>
    </xf>
    <xf numFmtId="0" fontId="10" fillId="0" borderId="17" xfId="0" applyFont="1" applyFill="1" applyBorder="1" applyAlignment="1">
      <alignment vertical="center" wrapText="1"/>
    </xf>
    <xf numFmtId="0" fontId="10" fillId="0" borderId="43" xfId="0" applyFont="1" applyFill="1" applyBorder="1" applyAlignment="1">
      <alignment vertical="center" wrapText="1"/>
    </xf>
    <xf numFmtId="0" fontId="10" fillId="0" borderId="22" xfId="0" applyFont="1" applyFill="1" applyBorder="1" applyAlignment="1">
      <alignment horizontal="right" vertical="center" wrapText="1"/>
    </xf>
    <xf numFmtId="0" fontId="10" fillId="0" borderId="37" xfId="0" applyFont="1" applyFill="1" applyBorder="1" applyAlignment="1">
      <alignment horizontal="right" vertical="center" wrapText="1"/>
    </xf>
    <xf numFmtId="0" fontId="10" fillId="0" borderId="29" xfId="0" applyFont="1" applyFill="1" applyBorder="1" applyAlignment="1">
      <alignment horizontal="left" vertical="center" wrapText="1"/>
    </xf>
    <xf numFmtId="0" fontId="10" fillId="0" borderId="7" xfId="0" applyFont="1" applyFill="1" applyBorder="1" applyAlignment="1">
      <alignment vertical="top" wrapText="1"/>
    </xf>
    <xf numFmtId="0" fontId="10" fillId="0" borderId="13" xfId="0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 wrapText="1"/>
    </xf>
    <xf numFmtId="0" fontId="10" fillId="0" borderId="6" xfId="0" applyFont="1" applyFill="1" applyBorder="1" applyAlignment="1">
      <alignment vertical="top" wrapText="1"/>
    </xf>
    <xf numFmtId="0" fontId="10" fillId="0" borderId="22" xfId="0" applyFont="1" applyFill="1" applyBorder="1" applyAlignment="1">
      <alignment horizontal="right" vertical="top" wrapText="1"/>
    </xf>
    <xf numFmtId="0" fontId="10" fillId="0" borderId="37" xfId="0" applyFont="1" applyFill="1" applyBorder="1" applyAlignment="1">
      <alignment horizontal="right" vertical="top" wrapText="1"/>
    </xf>
    <xf numFmtId="0" fontId="0" fillId="0" borderId="0" xfId="0"/>
    <xf numFmtId="0" fontId="0" fillId="0" borderId="0" xfId="0" applyAlignment="1">
      <alignment horizontal="left" wrapText="1"/>
    </xf>
    <xf numFmtId="0" fontId="10" fillId="0" borderId="57" xfId="0" applyFont="1" applyFill="1" applyBorder="1" applyAlignment="1">
      <alignment horizontal="left" vertical="center" wrapText="1"/>
    </xf>
    <xf numFmtId="0" fontId="0" fillId="0" borderId="0" xfId="0" applyBorder="1" applyAlignment="1"/>
    <xf numFmtId="0" fontId="10" fillId="0" borderId="0" xfId="0" applyFont="1" applyFill="1" applyBorder="1" applyAlignment="1">
      <alignment horizontal="right" wrapText="1"/>
    </xf>
    <xf numFmtId="0" fontId="10" fillId="0" borderId="0" xfId="0" applyFont="1" applyFill="1" applyBorder="1" applyAlignment="1">
      <alignment horizontal="left" vertical="top" wrapText="1"/>
    </xf>
    <xf numFmtId="0" fontId="0" fillId="0" borderId="0" xfId="0" applyFill="1" applyBorder="1" applyAlignment="1"/>
    <xf numFmtId="0" fontId="4" fillId="0" borderId="0" xfId="0" applyFont="1" applyFill="1" applyBorder="1" applyAlignment="1">
      <alignment horizontal="left" vertical="top"/>
    </xf>
    <xf numFmtId="0" fontId="4" fillId="0" borderId="0" xfId="0" applyFont="1" applyAlignment="1">
      <alignment vertical="top"/>
    </xf>
    <xf numFmtId="0" fontId="6" fillId="0" borderId="4" xfId="0" applyNumberFormat="1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Fill="1" applyAlignment="1">
      <alignment vertical="top"/>
    </xf>
    <xf numFmtId="0" fontId="4" fillId="4" borderId="0" xfId="0" applyFont="1" applyFill="1"/>
    <xf numFmtId="0" fontId="4" fillId="0" borderId="0" xfId="0" applyFont="1" applyFill="1"/>
    <xf numFmtId="0" fontId="4" fillId="0" borderId="0" xfId="0" applyFont="1" applyFill="1" applyBorder="1"/>
    <xf numFmtId="0" fontId="4" fillId="0" borderId="0" xfId="0" applyNumberFormat="1" applyFont="1" applyAlignment="1">
      <alignment vertical="top"/>
    </xf>
    <xf numFmtId="0" fontId="0" fillId="0" borderId="0" xfId="0"/>
    <xf numFmtId="0" fontId="7" fillId="0" borderId="0" xfId="0" applyFont="1" applyFill="1" applyBorder="1"/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left" vertical="center"/>
    </xf>
    <xf numFmtId="0" fontId="20" fillId="0" borderId="0" xfId="0" applyFont="1" applyAlignment="1">
      <alignment vertical="center" wrapText="1"/>
    </xf>
    <xf numFmtId="0" fontId="2" fillId="0" borderId="0" xfId="0" applyFont="1" applyFill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13" fillId="0" borderId="0" xfId="0" applyFont="1" applyFill="1"/>
    <xf numFmtId="164" fontId="13" fillId="0" borderId="0" xfId="0" applyNumberFormat="1" applyFont="1" applyFill="1"/>
    <xf numFmtId="166" fontId="13" fillId="0" borderId="0" xfId="0" applyNumberFormat="1" applyFont="1" applyFill="1"/>
    <xf numFmtId="0" fontId="13" fillId="0" borderId="0" xfId="0" applyNumberFormat="1" applyFont="1" applyFill="1"/>
    <xf numFmtId="0" fontId="13" fillId="0" borderId="0" xfId="0" applyFont="1" applyFill="1" applyAlignment="1">
      <alignment vertical="top"/>
    </xf>
    <xf numFmtId="0" fontId="13" fillId="0" borderId="0" xfId="0" applyNumberFormat="1" applyFont="1" applyFill="1" applyAlignment="1">
      <alignment vertical="top"/>
    </xf>
    <xf numFmtId="0" fontId="6" fillId="0" borderId="24" xfId="0" applyNumberFormat="1" applyFont="1" applyFill="1" applyBorder="1" applyAlignment="1">
      <alignment horizontal="center"/>
    </xf>
    <xf numFmtId="0" fontId="1" fillId="0" borderId="4" xfId="0" applyNumberFormat="1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center" vertical="center"/>
    </xf>
    <xf numFmtId="0" fontId="4" fillId="19" borderId="0" xfId="0" applyFont="1" applyFill="1"/>
    <xf numFmtId="0" fontId="4" fillId="26" borderId="0" xfId="0" applyFont="1" applyFill="1"/>
    <xf numFmtId="0" fontId="4" fillId="0" borderId="0" xfId="0" applyFont="1" applyFill="1"/>
    <xf numFmtId="0" fontId="4" fillId="0" borderId="0" xfId="0" applyFont="1"/>
    <xf numFmtId="0" fontId="4" fillId="0" borderId="0" xfId="0" applyFont="1" applyAlignment="1">
      <alignment vertical="top"/>
    </xf>
    <xf numFmtId="0" fontId="4" fillId="0" borderId="0" xfId="0" applyNumberFormat="1" applyFont="1"/>
    <xf numFmtId="0" fontId="2" fillId="0" borderId="56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4" fillId="0" borderId="0" xfId="0" applyFont="1" applyFill="1"/>
    <xf numFmtId="0" fontId="4" fillId="0" borderId="0" xfId="0" applyFont="1"/>
    <xf numFmtId="0" fontId="4" fillId="0" borderId="0" xfId="0" applyNumberFormat="1" applyFont="1"/>
    <xf numFmtId="0" fontId="4" fillId="0" borderId="4" xfId="0" applyFont="1" applyFill="1" applyBorder="1" applyAlignment="1">
      <alignment horizontal="center" vertical="top"/>
    </xf>
    <xf numFmtId="0" fontId="4" fillId="0" borderId="4" xfId="0" applyNumberFormat="1" applyFont="1" applyFill="1" applyBorder="1" applyAlignment="1">
      <alignment horizontal="center" vertical="top"/>
    </xf>
    <xf numFmtId="0" fontId="4" fillId="0" borderId="0" xfId="0" applyFont="1" applyFill="1" applyAlignment="1">
      <alignment vertical="top"/>
    </xf>
    <xf numFmtId="0" fontId="13" fillId="25" borderId="4" xfId="0" applyFont="1" applyFill="1" applyBorder="1" applyAlignment="1">
      <alignment horizontal="center" vertical="center" wrapText="1"/>
    </xf>
    <xf numFmtId="0" fontId="19" fillId="24" borderId="12" xfId="0" applyFont="1" applyFill="1" applyBorder="1" applyAlignment="1">
      <alignment horizontal="center" vertical="top" wrapText="1"/>
    </xf>
    <xf numFmtId="0" fontId="19" fillId="24" borderId="7" xfId="0" applyFont="1" applyFill="1" applyBorder="1" applyAlignment="1">
      <alignment horizontal="center" vertical="top" wrapText="1"/>
    </xf>
    <xf numFmtId="0" fontId="10" fillId="0" borderId="4" xfId="0" applyFont="1" applyFill="1" applyBorder="1" applyAlignment="1">
      <alignment vertical="top" wrapText="1"/>
    </xf>
    <xf numFmtId="0" fontId="0" fillId="0" borderId="0" xfId="0"/>
    <xf numFmtId="0" fontId="4" fillId="0" borderId="0" xfId="0" applyNumberFormat="1" applyFont="1" applyAlignment="1">
      <alignment vertical="top"/>
    </xf>
    <xf numFmtId="0" fontId="4" fillId="0" borderId="0" xfId="0" applyFont="1" applyAlignment="1">
      <alignment vertical="top"/>
    </xf>
    <xf numFmtId="0" fontId="4" fillId="0" borderId="0" xfId="0" applyFont="1" applyFill="1"/>
    <xf numFmtId="0" fontId="4" fillId="0" borderId="0" xfId="0" applyFont="1"/>
    <xf numFmtId="0" fontId="4" fillId="0" borderId="0" xfId="0" applyNumberFormat="1" applyFont="1"/>
    <xf numFmtId="0" fontId="0" fillId="0" borderId="0" xfId="0"/>
    <xf numFmtId="0" fontId="4" fillId="0" borderId="4" xfId="0" applyFont="1" applyFill="1" applyBorder="1" applyAlignment="1">
      <alignment horizontal="center" vertical="center"/>
    </xf>
    <xf numFmtId="0" fontId="4" fillId="0" borderId="0" xfId="0" applyFont="1" applyFill="1"/>
    <xf numFmtId="0" fontId="4" fillId="0" borderId="0" xfId="0" applyFont="1"/>
    <xf numFmtId="0" fontId="0" fillId="0" borderId="0" xfId="0"/>
    <xf numFmtId="0" fontId="7" fillId="0" borderId="0" xfId="0" applyFont="1" applyAlignment="1">
      <alignment horizontal="left" vertical="center" wrapText="1"/>
    </xf>
    <xf numFmtId="0" fontId="18" fillId="0" borderId="0" xfId="0" applyNumberFormat="1" applyFont="1" applyFill="1"/>
    <xf numFmtId="0" fontId="4" fillId="0" borderId="0" xfId="0" applyNumberFormat="1" applyFont="1" applyFill="1" applyAlignment="1">
      <alignment horizontal="left" vertical="center"/>
    </xf>
    <xf numFmtId="0" fontId="6" fillId="6" borderId="9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0" xfId="0" applyFill="1" applyBorder="1" applyAlignment="1">
      <alignment horizontal="center"/>
    </xf>
    <xf numFmtId="0" fontId="4" fillId="0" borderId="0" xfId="0" applyFont="1" applyBorder="1"/>
    <xf numFmtId="0" fontId="4" fillId="0" borderId="0" xfId="0" applyFont="1" applyBorder="1" applyAlignment="1"/>
    <xf numFmtId="0" fontId="4" fillId="0" borderId="0" xfId="0" applyFont="1" applyFill="1"/>
    <xf numFmtId="0" fontId="24" fillId="0" borderId="0" xfId="0" applyFont="1" applyFill="1"/>
    <xf numFmtId="0" fontId="24" fillId="0" borderId="0" xfId="0" applyNumberFormat="1" applyFont="1" applyFill="1"/>
    <xf numFmtId="0" fontId="25" fillId="0" borderId="0" xfId="0" applyFont="1" applyBorder="1" applyAlignment="1">
      <alignment horizontal="center"/>
    </xf>
    <xf numFmtId="49" fontId="25" fillId="0" borderId="0" xfId="0" applyNumberFormat="1" applyFont="1" applyFill="1" applyBorder="1" applyAlignment="1">
      <alignment horizontal="center"/>
    </xf>
    <xf numFmtId="0" fontId="25" fillId="0" borderId="0" xfId="0" applyFont="1" applyBorder="1" applyAlignment="1">
      <alignment horizontal="center" wrapText="1"/>
    </xf>
    <xf numFmtId="0" fontId="25" fillId="0" borderId="0" xfId="0" applyFont="1" applyFill="1" applyBorder="1" applyAlignment="1">
      <alignment horizontal="center"/>
    </xf>
    <xf numFmtId="0" fontId="25" fillId="0" borderId="0" xfId="0" applyFont="1" applyBorder="1"/>
    <xf numFmtId="0" fontId="0" fillId="0" borderId="0" xfId="0"/>
    <xf numFmtId="0" fontId="1" fillId="0" borderId="4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center" wrapText="1"/>
    </xf>
    <xf numFmtId="0" fontId="4" fillId="0" borderId="4" xfId="0" applyFont="1" applyFill="1" applyBorder="1" applyAlignment="1">
      <alignment horizontal="center" vertical="top"/>
    </xf>
    <xf numFmtId="0" fontId="4" fillId="0" borderId="0" xfId="0" applyFont="1" applyFill="1"/>
    <xf numFmtId="0" fontId="4" fillId="0" borderId="0" xfId="0" applyFont="1" applyFill="1" applyAlignment="1">
      <alignment vertical="top"/>
    </xf>
    <xf numFmtId="0" fontId="4" fillId="0" borderId="0" xfId="0" applyFont="1"/>
    <xf numFmtId="0" fontId="4" fillId="0" borderId="0" xfId="0" applyNumberFormat="1" applyFont="1"/>
    <xf numFmtId="0" fontId="4" fillId="0" borderId="0" xfId="0" applyFont="1" applyFill="1"/>
    <xf numFmtId="0" fontId="4" fillId="0" borderId="0" xfId="0" applyFont="1" applyFill="1" applyBorder="1" applyAlignment="1">
      <alignment vertical="top"/>
    </xf>
    <xf numFmtId="0" fontId="6" fillId="0" borderId="0" xfId="0" applyNumberFormat="1" applyFont="1" applyFill="1" applyBorder="1" applyAlignment="1">
      <alignment horizontal="center"/>
    </xf>
    <xf numFmtId="0" fontId="4" fillId="0" borderId="0" xfId="0" applyFont="1" applyFill="1"/>
    <xf numFmtId="0" fontId="4" fillId="0" borderId="4" xfId="0" applyFont="1" applyFill="1" applyBorder="1" applyAlignment="1">
      <alignment horizontal="center" vertical="top"/>
    </xf>
    <xf numFmtId="0" fontId="1" fillId="0" borderId="4" xfId="0" applyFont="1" applyFill="1" applyBorder="1" applyAlignment="1">
      <alignment vertical="top" wrapText="1"/>
    </xf>
    <xf numFmtId="0" fontId="4" fillId="6" borderId="4" xfId="0" applyFont="1" applyFill="1" applyBorder="1" applyAlignment="1">
      <alignment horizontal="center" vertical="top"/>
    </xf>
    <xf numFmtId="0" fontId="6" fillId="0" borderId="5" xfId="0" applyFont="1" applyFill="1" applyBorder="1" applyAlignment="1">
      <alignment horizontal="center"/>
    </xf>
    <xf numFmtId="0" fontId="6" fillId="0" borderId="14" xfId="0" applyFont="1" applyFill="1" applyBorder="1" applyAlignment="1">
      <alignment horizontal="center"/>
    </xf>
    <xf numFmtId="0" fontId="6" fillId="0" borderId="15" xfId="0" applyFont="1" applyFill="1" applyBorder="1" applyAlignment="1">
      <alignment horizontal="center"/>
    </xf>
    <xf numFmtId="0" fontId="4" fillId="0" borderId="0" xfId="0" applyFont="1" applyAlignment="1">
      <alignment vertical="top"/>
    </xf>
    <xf numFmtId="0" fontId="4" fillId="0" borderId="0" xfId="0" applyFont="1" applyFill="1"/>
    <xf numFmtId="0" fontId="1" fillId="0" borderId="4" xfId="0" applyFont="1" applyFill="1" applyBorder="1" applyAlignment="1">
      <alignment horizontal="left" vertical="center" wrapText="1"/>
    </xf>
    <xf numFmtId="0" fontId="21" fillId="32" borderId="0" xfId="0" applyFont="1" applyFill="1" applyAlignment="1">
      <alignment horizontal="left" vertical="center" wrapText="1"/>
    </xf>
    <xf numFmtId="0" fontId="1" fillId="23" borderId="4" xfId="0" applyFont="1" applyFill="1" applyBorder="1" applyAlignment="1">
      <alignment horizontal="center" vertical="top" wrapText="1"/>
    </xf>
    <xf numFmtId="0" fontId="4" fillId="4" borderId="5" xfId="0" applyFont="1" applyFill="1" applyBorder="1"/>
    <xf numFmtId="0" fontId="4" fillId="4" borderId="15" xfId="0" applyFont="1" applyFill="1" applyBorder="1"/>
    <xf numFmtId="0" fontId="4" fillId="23" borderId="5" xfId="0" applyFont="1" applyFill="1" applyBorder="1"/>
    <xf numFmtId="0" fontId="4" fillId="23" borderId="14" xfId="0" applyFont="1" applyFill="1" applyBorder="1"/>
    <xf numFmtId="0" fontId="4" fillId="23" borderId="15" xfId="0" applyFont="1" applyFill="1" applyBorder="1"/>
    <xf numFmtId="0" fontId="4" fillId="4" borderId="14" xfId="0" applyFont="1" applyFill="1" applyBorder="1"/>
    <xf numFmtId="0" fontId="4" fillId="0" borderId="5" xfId="0" applyFont="1" applyFill="1" applyBorder="1"/>
    <xf numFmtId="0" fontId="4" fillId="0" borderId="15" xfId="0" applyFont="1" applyFill="1" applyBorder="1"/>
    <xf numFmtId="0" fontId="4" fillId="6" borderId="5" xfId="0" applyFont="1" applyFill="1" applyBorder="1" applyAlignment="1">
      <alignment horizontal="center"/>
    </xf>
    <xf numFmtId="0" fontId="4" fillId="6" borderId="15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right" vertical="top" wrapText="1"/>
    </xf>
    <xf numFmtId="0" fontId="1" fillId="6" borderId="4" xfId="0" applyFont="1" applyFill="1" applyBorder="1" applyAlignment="1">
      <alignment horizontal="center" vertical="center" wrapText="1"/>
    </xf>
    <xf numFmtId="0" fontId="1" fillId="0" borderId="4" xfId="0" applyFont="1" applyFill="1" applyBorder="1" applyAlignment="1">
      <alignment horizontal="left" vertical="top" wrapText="1"/>
    </xf>
    <xf numFmtId="0" fontId="4" fillId="6" borderId="4" xfId="0" applyFont="1" applyFill="1" applyBorder="1" applyAlignment="1">
      <alignment horizontal="center" vertical="top"/>
    </xf>
    <xf numFmtId="0" fontId="4" fillId="0" borderId="0" xfId="0" applyFont="1" applyFill="1" applyAlignment="1">
      <alignment vertical="top"/>
    </xf>
    <xf numFmtId="0" fontId="1" fillId="23" borderId="4" xfId="0" applyFont="1" applyFill="1" applyBorder="1" applyAlignment="1">
      <alignment vertical="top" wrapText="1"/>
    </xf>
    <xf numFmtId="0" fontId="4" fillId="0" borderId="0" xfId="0" applyFont="1"/>
    <xf numFmtId="0" fontId="4" fillId="0" borderId="0" xfId="0" applyNumberFormat="1" applyFont="1" applyAlignment="1">
      <alignment vertical="top"/>
    </xf>
    <xf numFmtId="0" fontId="1" fillId="6" borderId="4" xfId="0" applyFont="1" applyFill="1" applyBorder="1" applyAlignment="1">
      <alignment vertical="top" wrapText="1"/>
    </xf>
    <xf numFmtId="0" fontId="1" fillId="23" borderId="4" xfId="0" applyFont="1" applyFill="1" applyBorder="1" applyAlignment="1">
      <alignment horizontal="center" vertical="center" wrapText="1"/>
    </xf>
    <xf numFmtId="0" fontId="4" fillId="0" borderId="4" xfId="0" applyNumberFormat="1" applyFont="1" applyFill="1" applyBorder="1" applyAlignment="1">
      <alignment horizontal="left" vertical="center" wrapText="1"/>
    </xf>
    <xf numFmtId="0" fontId="6" fillId="0" borderId="45" xfId="0" applyNumberFormat="1" applyFont="1" applyFill="1" applyBorder="1" applyAlignment="1">
      <alignment horizontal="center"/>
    </xf>
    <xf numFmtId="0" fontId="6" fillId="0" borderId="46" xfId="0" applyNumberFormat="1" applyFont="1" applyFill="1" applyBorder="1" applyAlignment="1">
      <alignment horizontal="center"/>
    </xf>
    <xf numFmtId="0" fontId="6" fillId="0" borderId="47" xfId="0" applyNumberFormat="1" applyFont="1" applyFill="1" applyBorder="1" applyAlignment="1">
      <alignment horizontal="center"/>
    </xf>
    <xf numFmtId="0" fontId="4" fillId="0" borderId="5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4" fillId="0" borderId="15" xfId="0" applyFont="1" applyFill="1" applyBorder="1" applyAlignment="1">
      <alignment horizontal="left"/>
    </xf>
    <xf numFmtId="0" fontId="4" fillId="0" borderId="5" xfId="0" applyFont="1" applyFill="1" applyBorder="1" applyAlignment="1">
      <alignment horizontal="left" vertical="top"/>
    </xf>
    <xf numFmtId="0" fontId="4" fillId="0" borderId="14" xfId="0" applyFont="1" applyFill="1" applyBorder="1" applyAlignment="1">
      <alignment horizontal="left" vertical="top"/>
    </xf>
    <xf numFmtId="0" fontId="4" fillId="0" borderId="15" xfId="0" applyFont="1" applyFill="1" applyBorder="1" applyAlignment="1">
      <alignment horizontal="left" vertical="top"/>
    </xf>
    <xf numFmtId="0" fontId="4" fillId="0" borderId="4" xfId="0" applyFont="1" applyFill="1" applyBorder="1" applyAlignment="1">
      <alignment horizontal="center" vertical="top"/>
    </xf>
    <xf numFmtId="0" fontId="4" fillId="0" borderId="0" xfId="0" applyNumberFormat="1" applyFont="1"/>
    <xf numFmtId="0" fontId="1" fillId="0" borderId="4" xfId="0" applyFont="1" applyFill="1" applyBorder="1" applyAlignment="1">
      <alignment vertical="top" wrapText="1"/>
    </xf>
    <xf numFmtId="0" fontId="4" fillId="0" borderId="4" xfId="0" applyFont="1" applyFill="1" applyBorder="1" applyAlignment="1">
      <alignment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14" xfId="0" applyFont="1" applyFill="1" applyBorder="1" applyAlignment="1">
      <alignment horizontal="left" vertical="top" wrapText="1"/>
    </xf>
    <xf numFmtId="0" fontId="1" fillId="0" borderId="15" xfId="0" applyFont="1" applyFill="1" applyBorder="1" applyAlignment="1">
      <alignment horizontal="left" vertical="top" wrapText="1"/>
    </xf>
    <xf numFmtId="0" fontId="4" fillId="23" borderId="4" xfId="0" applyFont="1" applyFill="1" applyBorder="1" applyAlignment="1">
      <alignment vertical="center" wrapText="1"/>
    </xf>
    <xf numFmtId="0" fontId="4" fillId="23" borderId="5" xfId="0" applyFont="1" applyFill="1" applyBorder="1" applyAlignment="1">
      <alignment horizontal="left"/>
    </xf>
    <xf numFmtId="0" fontId="4" fillId="23" borderId="14" xfId="0" applyFont="1" applyFill="1" applyBorder="1" applyAlignment="1">
      <alignment horizontal="left"/>
    </xf>
    <xf numFmtId="0" fontId="4" fillId="23" borderId="15" xfId="0" applyFont="1" applyFill="1" applyBorder="1" applyAlignment="1">
      <alignment horizontal="left"/>
    </xf>
    <xf numFmtId="0" fontId="4" fillId="0" borderId="5" xfId="0" applyFont="1" applyFill="1" applyBorder="1" applyAlignment="1">
      <alignment horizontal="left" vertical="top" wrapText="1"/>
    </xf>
    <xf numFmtId="0" fontId="4" fillId="0" borderId="14" xfId="0" applyFont="1" applyFill="1" applyBorder="1" applyAlignment="1">
      <alignment horizontal="left" vertical="top" wrapText="1"/>
    </xf>
    <xf numFmtId="0" fontId="4" fillId="0" borderId="15" xfId="0" applyFont="1" applyFill="1" applyBorder="1" applyAlignment="1">
      <alignment horizontal="left" vertical="top" wrapText="1"/>
    </xf>
    <xf numFmtId="0" fontId="1" fillId="6" borderId="4" xfId="0" applyNumberFormat="1" applyFont="1" applyFill="1" applyBorder="1" applyAlignment="1">
      <alignment horizontal="right" vertical="center" wrapText="1"/>
    </xf>
    <xf numFmtId="0" fontId="22" fillId="6" borderId="60" xfId="0" applyFont="1" applyFill="1" applyBorder="1" applyAlignment="1">
      <alignment horizontal="center" vertical="center"/>
    </xf>
    <xf numFmtId="0" fontId="22" fillId="6" borderId="58" xfId="0" applyFont="1" applyFill="1" applyBorder="1" applyAlignment="1">
      <alignment horizontal="center" vertical="center"/>
    </xf>
    <xf numFmtId="0" fontId="22" fillId="6" borderId="59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vertical="center" wrapText="1"/>
    </xf>
    <xf numFmtId="0" fontId="4" fillId="23" borderId="4" xfId="0" applyFont="1" applyFill="1" applyBorder="1" applyAlignment="1">
      <alignment vertical="top" wrapText="1"/>
    </xf>
    <xf numFmtId="0" fontId="4" fillId="0" borderId="0" xfId="0" applyFont="1" applyBorder="1" applyAlignment="1">
      <alignment horizontal="center"/>
    </xf>
    <xf numFmtId="166" fontId="4" fillId="0" borderId="0" xfId="0" applyNumberFormat="1" applyFont="1" applyBorder="1"/>
    <xf numFmtId="0" fontId="4" fillId="0" borderId="0" xfId="0" applyFont="1" applyAlignment="1">
      <alignment horizontal="left" vertical="top" wrapText="1"/>
    </xf>
    <xf numFmtId="0" fontId="21" fillId="33" borderId="0" xfId="0" applyFont="1" applyFill="1" applyAlignment="1">
      <alignment horizontal="left" vertical="center"/>
    </xf>
    <xf numFmtId="0" fontId="5" fillId="23" borderId="0" xfId="0" applyFont="1" applyFill="1" applyAlignment="1">
      <alignment horizontal="left" vertical="center"/>
    </xf>
    <xf numFmtId="0" fontId="21" fillId="32" borderId="0" xfId="0" applyFont="1" applyFill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4" fillId="0" borderId="8" xfId="0" applyFont="1" applyFill="1" applyBorder="1" applyAlignment="1">
      <alignment horizontal="center" vertical="top"/>
    </xf>
    <xf numFmtId="0" fontId="4" fillId="0" borderId="27" xfId="0" applyFont="1" applyFill="1" applyBorder="1" applyAlignment="1">
      <alignment horizontal="center" vertical="top"/>
    </xf>
    <xf numFmtId="0" fontId="4" fillId="0" borderId="9" xfId="0" applyFont="1" applyFill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4" xfId="0" applyFont="1" applyFill="1" applyBorder="1" applyAlignment="1">
      <alignment horizontal="left" vertical="center" wrapText="1"/>
    </xf>
    <xf numFmtId="0" fontId="1" fillId="6" borderId="4" xfId="0" applyFont="1" applyFill="1" applyBorder="1" applyAlignment="1">
      <alignment horizontal="right" vertical="center" wrapText="1"/>
    </xf>
    <xf numFmtId="0" fontId="13" fillId="0" borderId="0" xfId="0" applyFont="1" applyAlignment="1">
      <alignment horizontal="left" vertical="center"/>
    </xf>
    <xf numFmtId="0" fontId="21" fillId="32" borderId="11" xfId="0" applyFont="1" applyFill="1" applyBorder="1" applyAlignment="1">
      <alignment horizontal="left" vertical="center" wrapText="1"/>
    </xf>
    <xf numFmtId="0" fontId="4" fillId="0" borderId="12" xfId="0" applyFont="1" applyFill="1" applyBorder="1" applyAlignment="1">
      <alignment vertical="center" wrapText="1"/>
    </xf>
    <xf numFmtId="0" fontId="4" fillId="0" borderId="7" xfId="0" applyFont="1" applyFill="1" applyBorder="1" applyAlignment="1">
      <alignment vertical="center" wrapText="1"/>
    </xf>
    <xf numFmtId="0" fontId="4" fillId="0" borderId="1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wrapText="1"/>
    </xf>
    <xf numFmtId="0" fontId="4" fillId="0" borderId="7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6" borderId="4" xfId="0" applyNumberFormat="1" applyFont="1" applyFill="1" applyBorder="1" applyAlignment="1">
      <alignment horizontal="center" vertical="top"/>
    </xf>
    <xf numFmtId="0" fontId="1" fillId="6" borderId="4" xfId="0" applyFont="1" applyFill="1" applyBorder="1" applyAlignment="1">
      <alignment horizontal="center" vertical="top" wrapText="1"/>
    </xf>
    <xf numFmtId="0" fontId="4" fillId="0" borderId="5" xfId="0" applyFont="1" applyFill="1" applyBorder="1" applyAlignment="1">
      <alignment horizontal="right" vertical="top" wrapText="1"/>
    </xf>
    <xf numFmtId="0" fontId="4" fillId="0" borderId="14" xfId="0" applyFont="1" applyFill="1" applyBorder="1" applyAlignment="1">
      <alignment horizontal="right" vertical="top" wrapText="1"/>
    </xf>
    <xf numFmtId="0" fontId="4" fillId="0" borderId="15" xfId="0" applyFont="1" applyFill="1" applyBorder="1" applyAlignment="1">
      <alignment horizontal="right" vertical="top" wrapText="1"/>
    </xf>
    <xf numFmtId="0" fontId="4" fillId="0" borderId="0" xfId="0" applyFont="1" applyAlignment="1">
      <alignment horizontal="left" vertical="top"/>
    </xf>
    <xf numFmtId="0" fontId="4" fillId="6" borderId="5" xfId="0" applyFont="1" applyFill="1" applyBorder="1"/>
    <xf numFmtId="0" fontId="4" fillId="6" borderId="15" xfId="0" applyFont="1" applyFill="1" applyBorder="1"/>
    <xf numFmtId="0" fontId="6" fillId="0" borderId="5" xfId="0" applyNumberFormat="1" applyFont="1" applyFill="1" applyBorder="1" applyAlignment="1">
      <alignment horizontal="center"/>
    </xf>
    <xf numFmtId="0" fontId="6" fillId="0" borderId="14" xfId="0" applyNumberFormat="1" applyFont="1" applyFill="1" applyBorder="1" applyAlignment="1">
      <alignment horizontal="center"/>
    </xf>
    <xf numFmtId="0" fontId="6" fillId="0" borderId="15" xfId="0" applyNumberFormat="1" applyFont="1" applyFill="1" applyBorder="1" applyAlignment="1">
      <alignment horizontal="center"/>
    </xf>
    <xf numFmtId="0" fontId="4" fillId="0" borderId="5" xfId="0" applyFont="1" applyFill="1" applyBorder="1" applyAlignment="1">
      <alignment horizontal="left" wrapText="1"/>
    </xf>
    <xf numFmtId="0" fontId="4" fillId="0" borderId="14" xfId="0" applyFont="1" applyFill="1" applyBorder="1" applyAlignment="1">
      <alignment horizontal="left" wrapText="1"/>
    </xf>
    <xf numFmtId="0" fontId="4" fillId="0" borderId="15" xfId="0" applyFont="1" applyFill="1" applyBorder="1" applyAlignment="1">
      <alignment horizontal="left" wrapText="1"/>
    </xf>
    <xf numFmtId="0" fontId="4" fillId="23" borderId="5" xfId="0" applyFont="1" applyFill="1" applyBorder="1" applyAlignment="1" applyProtection="1">
      <alignment horizontal="left"/>
      <protection locked="0"/>
    </xf>
    <xf numFmtId="0" fontId="4" fillId="23" borderId="14" xfId="0" applyFont="1" applyFill="1" applyBorder="1" applyAlignment="1" applyProtection="1">
      <alignment horizontal="left"/>
      <protection locked="0"/>
    </xf>
    <xf numFmtId="0" fontId="4" fillId="23" borderId="15" xfId="0" applyFont="1" applyFill="1" applyBorder="1" applyAlignment="1" applyProtection="1">
      <alignment horizontal="left"/>
      <protection locked="0"/>
    </xf>
    <xf numFmtId="0" fontId="7" fillId="0" borderId="17" xfId="0" applyFont="1" applyFill="1" applyBorder="1" applyAlignment="1">
      <alignment horizontal="center" vertical="center"/>
    </xf>
    <xf numFmtId="0" fontId="7" fillId="0" borderId="58" xfId="0" applyFont="1" applyFill="1" applyBorder="1" applyAlignment="1">
      <alignment horizontal="center" vertical="center"/>
    </xf>
    <xf numFmtId="0" fontId="7" fillId="0" borderId="59" xfId="0" applyFont="1" applyFill="1" applyBorder="1" applyAlignment="1">
      <alignment horizontal="center" vertical="center"/>
    </xf>
    <xf numFmtId="0" fontId="4" fillId="0" borderId="4" xfId="0" applyNumberFormat="1" applyFont="1" applyFill="1" applyBorder="1" applyAlignment="1">
      <alignment horizontal="center" vertical="top"/>
    </xf>
    <xf numFmtId="0" fontId="4" fillId="0" borderId="4" xfId="0" applyNumberFormat="1" applyFont="1" applyFill="1" applyBorder="1" applyAlignment="1">
      <alignment vertical="center" wrapText="1"/>
    </xf>
    <xf numFmtId="0" fontId="25" fillId="0" borderId="0" xfId="0" applyFont="1" applyFill="1"/>
    <xf numFmtId="0" fontId="27" fillId="32" borderId="0" xfId="0" applyFont="1" applyFill="1" applyAlignment="1">
      <alignment vertical="center"/>
    </xf>
    <xf numFmtId="0" fontId="4" fillId="6" borderId="5" xfId="0" applyFont="1" applyFill="1" applyBorder="1" applyAlignment="1">
      <alignment horizontal="left" vertical="top"/>
    </xf>
    <xf numFmtId="0" fontId="4" fillId="6" borderId="14" xfId="0" applyFont="1" applyFill="1" applyBorder="1" applyAlignment="1">
      <alignment horizontal="left" vertical="top"/>
    </xf>
    <xf numFmtId="0" fontId="4" fillId="6" borderId="15" xfId="0" applyFont="1" applyFill="1" applyBorder="1" applyAlignment="1">
      <alignment horizontal="left" vertical="top"/>
    </xf>
    <xf numFmtId="0" fontId="4" fillId="0" borderId="5" xfId="0" applyFont="1" applyFill="1" applyBorder="1" applyAlignment="1" applyProtection="1">
      <alignment horizontal="left"/>
      <protection locked="0"/>
    </xf>
    <xf numFmtId="0" fontId="4" fillId="0" borderId="14" xfId="0" applyFont="1" applyFill="1" applyBorder="1" applyAlignment="1" applyProtection="1">
      <alignment horizontal="left"/>
      <protection locked="0"/>
    </xf>
    <xf numFmtId="0" fontId="4" fillId="0" borderId="15" xfId="0" applyFont="1" applyFill="1" applyBorder="1" applyAlignment="1" applyProtection="1">
      <alignment horizontal="left"/>
      <protection locked="0"/>
    </xf>
    <xf numFmtId="0" fontId="15" fillId="23" borderId="5" xfId="0" applyFont="1" applyFill="1" applyBorder="1" applyAlignment="1">
      <alignment horizontal="left"/>
    </xf>
    <xf numFmtId="0" fontId="15" fillId="23" borderId="14" xfId="0" applyFont="1" applyFill="1" applyBorder="1" applyAlignment="1">
      <alignment horizontal="left"/>
    </xf>
    <xf numFmtId="0" fontId="15" fillId="23" borderId="15" xfId="0" applyFont="1" applyFill="1" applyBorder="1" applyAlignment="1">
      <alignment horizontal="left"/>
    </xf>
    <xf numFmtId="0" fontId="26" fillId="0" borderId="0" xfId="0" applyFont="1" applyFill="1" applyAlignment="1">
      <alignment horizontal="left" vertical="center" wrapText="1"/>
    </xf>
    <xf numFmtId="0" fontId="1" fillId="0" borderId="0" xfId="0" applyFont="1" applyFill="1" applyAlignment="1">
      <alignment horizontal="left" vertical="center" wrapText="1"/>
    </xf>
    <xf numFmtId="0" fontId="1" fillId="0" borderId="0" xfId="0" applyFont="1" applyFill="1" applyAlignment="1">
      <alignment horizontal="left" vertical="center"/>
    </xf>
    <xf numFmtId="0" fontId="7" fillId="0" borderId="0" xfId="0" applyFont="1" applyFill="1" applyBorder="1"/>
    <xf numFmtId="0" fontId="1" fillId="0" borderId="0" xfId="0" applyFont="1" applyFill="1" applyBorder="1" applyAlignment="1">
      <alignment horizontal="left" vertical="top" wrapText="1"/>
    </xf>
    <xf numFmtId="0" fontId="1" fillId="0" borderId="0" xfId="0" applyFont="1" applyFill="1" applyBorder="1" applyAlignment="1">
      <alignment horizontal="left" vertical="top"/>
    </xf>
    <xf numFmtId="0" fontId="25" fillId="0" borderId="0" xfId="0" applyFont="1" applyFill="1" applyAlignment="1">
      <alignment horizontal="center" vertical="top"/>
    </xf>
    <xf numFmtId="0" fontId="5" fillId="0" borderId="0" xfId="0" applyFont="1" applyFill="1" applyBorder="1" applyAlignment="1">
      <alignment horizontal="left" vertical="top"/>
    </xf>
    <xf numFmtId="0" fontId="1" fillId="0" borderId="11" xfId="0" applyFont="1" applyFill="1" applyBorder="1" applyAlignment="1">
      <alignment horizontal="left" vertical="top" wrapText="1"/>
    </xf>
    <xf numFmtId="0" fontId="4" fillId="0" borderId="4" xfId="0" applyFont="1" applyFill="1" applyBorder="1" applyAlignment="1">
      <alignment horizontal="right" vertical="center" wrapText="1"/>
    </xf>
    <xf numFmtId="0" fontId="4" fillId="0" borderId="9" xfId="0" applyNumberFormat="1" applyFont="1" applyFill="1" applyBorder="1" applyAlignment="1">
      <alignment horizontal="center" vertical="top"/>
    </xf>
    <xf numFmtId="0" fontId="4" fillId="23" borderId="9" xfId="0" applyNumberFormat="1" applyFont="1" applyFill="1" applyBorder="1" applyAlignment="1">
      <alignment vertical="center" wrapText="1"/>
    </xf>
    <xf numFmtId="0" fontId="1" fillId="23" borderId="9" xfId="0" applyNumberFormat="1" applyFont="1" applyFill="1" applyBorder="1" applyAlignment="1">
      <alignment horizontal="center" vertical="center" wrapText="1"/>
    </xf>
    <xf numFmtId="0" fontId="13" fillId="25" borderId="4" xfId="0" applyFont="1" applyFill="1" applyBorder="1" applyAlignment="1">
      <alignment horizontal="center" vertical="center" wrapText="1"/>
    </xf>
    <xf numFmtId="0" fontId="19" fillId="24" borderId="12" xfId="0" applyFont="1" applyFill="1" applyBorder="1" applyAlignment="1">
      <alignment horizontal="center" vertical="top" wrapText="1"/>
    </xf>
    <xf numFmtId="0" fontId="19" fillId="24" borderId="7" xfId="0" applyFont="1" applyFill="1" applyBorder="1" applyAlignment="1">
      <alignment horizontal="center" vertical="top" wrapText="1"/>
    </xf>
    <xf numFmtId="0" fontId="15" fillId="0" borderId="4" xfId="0" applyFont="1" applyFill="1" applyBorder="1" applyAlignment="1">
      <alignment vertical="top" wrapText="1"/>
    </xf>
    <xf numFmtId="0" fontId="4" fillId="0" borderId="4" xfId="0" applyNumberFormat="1" applyFont="1" applyFill="1" applyBorder="1" applyAlignment="1">
      <alignment vertical="top" wrapText="1"/>
    </xf>
    <xf numFmtId="0" fontId="15" fillId="0" borderId="4" xfId="0" applyNumberFormat="1" applyFont="1" applyFill="1" applyBorder="1" applyAlignment="1">
      <alignment vertical="top" wrapText="1"/>
    </xf>
    <xf numFmtId="0" fontId="13" fillId="25" borderId="4" xfId="0" applyNumberFormat="1" applyFont="1" applyFill="1" applyBorder="1" applyAlignment="1">
      <alignment horizontal="center" vertical="center" wrapText="1"/>
    </xf>
    <xf numFmtId="0" fontId="19" fillId="24" borderId="12" xfId="0" applyNumberFormat="1" applyFont="1" applyFill="1" applyBorder="1" applyAlignment="1">
      <alignment horizontal="center" vertical="top" wrapText="1"/>
    </xf>
    <xf numFmtId="0" fontId="19" fillId="24" borderId="7" xfId="0" applyNumberFormat="1" applyFont="1" applyFill="1" applyBorder="1" applyAlignment="1">
      <alignment horizontal="center" vertical="top" wrapText="1"/>
    </xf>
    <xf numFmtId="0" fontId="0" fillId="0" borderId="32" xfId="0" applyFill="1" applyBorder="1" applyAlignment="1">
      <alignment horizontal="center" vertical="top"/>
    </xf>
    <xf numFmtId="0" fontId="0" fillId="0" borderId="34" xfId="0" applyFill="1" applyBorder="1" applyAlignment="1">
      <alignment horizontal="center" vertical="top"/>
    </xf>
    <xf numFmtId="0" fontId="0" fillId="0" borderId="41" xfId="0" applyFill="1" applyBorder="1" applyAlignment="1">
      <alignment horizontal="center" vertical="top"/>
    </xf>
    <xf numFmtId="0" fontId="10" fillId="0" borderId="5" xfId="0" applyFont="1" applyFill="1" applyBorder="1" applyAlignment="1">
      <alignment horizontal="center" vertical="top" wrapText="1"/>
    </xf>
    <xf numFmtId="0" fontId="10" fillId="0" borderId="14" xfId="0" applyFont="1" applyFill="1" applyBorder="1" applyAlignment="1">
      <alignment horizontal="center" vertical="top" wrapText="1"/>
    </xf>
    <xf numFmtId="0" fontId="10" fillId="0" borderId="15" xfId="0" applyFont="1" applyFill="1" applyBorder="1" applyAlignment="1">
      <alignment horizontal="center" vertical="top" wrapText="1"/>
    </xf>
    <xf numFmtId="0" fontId="10" fillId="0" borderId="38" xfId="0" applyFont="1" applyFill="1" applyBorder="1" applyAlignment="1">
      <alignment horizontal="center" vertical="top" wrapText="1"/>
    </xf>
    <xf numFmtId="0" fontId="10" fillId="0" borderId="39" xfId="0" applyFont="1" applyFill="1" applyBorder="1" applyAlignment="1">
      <alignment horizontal="center" vertical="top" wrapText="1"/>
    </xf>
    <xf numFmtId="0" fontId="10" fillId="0" borderId="40" xfId="0" applyFont="1" applyFill="1" applyBorder="1" applyAlignment="1">
      <alignment horizontal="center" vertical="top" wrapText="1"/>
    </xf>
    <xf numFmtId="0" fontId="0" fillId="0" borderId="0" xfId="0" applyAlignment="1">
      <alignment vertical="top"/>
    </xf>
    <xf numFmtId="0" fontId="0" fillId="0" borderId="31" xfId="0" applyBorder="1" applyAlignment="1">
      <alignment vertical="top"/>
    </xf>
    <xf numFmtId="0" fontId="0" fillId="0" borderId="33" xfId="0" applyBorder="1" applyAlignment="1">
      <alignment vertical="top"/>
    </xf>
    <xf numFmtId="0" fontId="0" fillId="0" borderId="35" xfId="0" applyBorder="1" applyAlignment="1">
      <alignment vertical="top"/>
    </xf>
    <xf numFmtId="0" fontId="10" fillId="0" borderId="42" xfId="0" applyFont="1" applyFill="1" applyBorder="1" applyAlignment="1">
      <alignment vertical="top" wrapText="1"/>
    </xf>
    <xf numFmtId="0" fontId="10" fillId="0" borderId="17" xfId="0" applyFont="1" applyFill="1" applyBorder="1" applyAlignment="1">
      <alignment vertical="top" wrapText="1"/>
    </xf>
    <xf numFmtId="0" fontId="10" fillId="0" borderId="10" xfId="0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 wrapText="1"/>
    </xf>
    <xf numFmtId="0" fontId="10" fillId="0" borderId="36" xfId="0" applyFont="1" applyFill="1" applyBorder="1" applyAlignment="1">
      <alignment vertical="top" wrapText="1"/>
    </xf>
    <xf numFmtId="0" fontId="10" fillId="0" borderId="22" xfId="0" applyFont="1" applyFill="1" applyBorder="1" applyAlignment="1">
      <alignment vertical="top" wrapText="1"/>
    </xf>
    <xf numFmtId="0" fontId="10" fillId="0" borderId="43" xfId="0" applyFont="1" applyFill="1" applyBorder="1" applyAlignment="1">
      <alignment vertical="top" wrapText="1"/>
    </xf>
    <xf numFmtId="0" fontId="10" fillId="0" borderId="6" xfId="0" applyFont="1" applyFill="1" applyBorder="1" applyAlignment="1">
      <alignment vertical="top" wrapText="1"/>
    </xf>
    <xf numFmtId="0" fontId="10" fillId="0" borderId="37" xfId="0" applyFont="1" applyFill="1" applyBorder="1" applyAlignment="1">
      <alignment vertical="top" wrapText="1"/>
    </xf>
    <xf numFmtId="0" fontId="10" fillId="0" borderId="36" xfId="0" applyFont="1" applyFill="1" applyBorder="1" applyAlignment="1">
      <alignment horizontal="right" vertical="top" wrapText="1"/>
    </xf>
    <xf numFmtId="0" fontId="10" fillId="0" borderId="22" xfId="0" applyFont="1" applyFill="1" applyBorder="1" applyAlignment="1">
      <alignment horizontal="right" vertical="top" wrapText="1"/>
    </xf>
    <xf numFmtId="0" fontId="10" fillId="0" borderId="37" xfId="0" applyFont="1" applyFill="1" applyBorder="1" applyAlignment="1">
      <alignment horizontal="right" vertical="top" wrapText="1"/>
    </xf>
    <xf numFmtId="0" fontId="10" fillId="0" borderId="38" xfId="0" applyFont="1" applyFill="1" applyBorder="1" applyAlignment="1">
      <alignment vertical="top" wrapText="1"/>
    </xf>
    <xf numFmtId="0" fontId="10" fillId="0" borderId="39" xfId="0" applyFont="1" applyFill="1" applyBorder="1" applyAlignment="1">
      <alignment vertical="top" wrapText="1"/>
    </xf>
    <xf numFmtId="0" fontId="10" fillId="0" borderId="40" xfId="0" applyFont="1" applyFill="1" applyBorder="1" applyAlignment="1">
      <alignment vertical="top" wrapText="1"/>
    </xf>
    <xf numFmtId="0" fontId="10" fillId="0" borderId="5" xfId="0" applyFont="1" applyFill="1" applyBorder="1" applyAlignment="1">
      <alignment vertical="top" wrapText="1"/>
    </xf>
    <xf numFmtId="0" fontId="10" fillId="0" borderId="15" xfId="0" applyFont="1" applyFill="1" applyBorder="1" applyAlignment="1">
      <alignment vertical="top" wrapText="1"/>
    </xf>
    <xf numFmtId="0" fontId="10" fillId="0" borderId="12" xfId="0" applyFont="1" applyFill="1" applyBorder="1" applyAlignment="1">
      <alignment vertical="top" wrapText="1"/>
    </xf>
    <xf numFmtId="0" fontId="10" fillId="0" borderId="7" xfId="0" applyFont="1" applyFill="1" applyBorder="1" applyAlignment="1">
      <alignment vertical="top" wrapText="1"/>
    </xf>
    <xf numFmtId="0" fontId="10" fillId="0" borderId="13" xfId="0" applyFont="1" applyFill="1" applyBorder="1" applyAlignment="1">
      <alignment vertical="top" wrapText="1"/>
    </xf>
    <xf numFmtId="0" fontId="10" fillId="0" borderId="4" xfId="0" applyFont="1" applyFill="1" applyBorder="1" applyAlignment="1">
      <alignment vertical="top" wrapText="1"/>
    </xf>
    <xf numFmtId="0" fontId="10" fillId="0" borderId="4" xfId="0" applyFont="1" applyFill="1" applyBorder="1" applyAlignment="1">
      <alignment horizontal="center" vertical="top" wrapText="1"/>
    </xf>
    <xf numFmtId="0" fontId="10" fillId="0" borderId="14" xfId="0" applyFont="1" applyFill="1" applyBorder="1" applyAlignment="1">
      <alignment vertical="top" wrapText="1"/>
    </xf>
    <xf numFmtId="0" fontId="10" fillId="0" borderId="29" xfId="0" applyFont="1" applyFill="1" applyBorder="1" applyAlignment="1">
      <alignment vertical="top" wrapText="1"/>
    </xf>
    <xf numFmtId="0" fontId="10" fillId="0" borderId="29" xfId="0" applyFont="1" applyFill="1" applyBorder="1" applyAlignment="1">
      <alignment horizontal="center" vertical="top" wrapText="1"/>
    </xf>
    <xf numFmtId="0" fontId="10" fillId="0" borderId="51" xfId="0" applyFont="1" applyFill="1" applyBorder="1" applyAlignment="1">
      <alignment vertical="top" wrapText="1"/>
    </xf>
    <xf numFmtId="0" fontId="10" fillId="0" borderId="51" xfId="0" applyFont="1" applyFill="1" applyBorder="1" applyAlignment="1">
      <alignment horizontal="center" vertical="top" wrapText="1"/>
    </xf>
    <xf numFmtId="0" fontId="10" fillId="0" borderId="53" xfId="0" applyFont="1" applyFill="1" applyBorder="1" applyAlignment="1">
      <alignment vertical="top" wrapText="1"/>
    </xf>
    <xf numFmtId="0" fontId="10" fillId="0" borderId="46" xfId="0" applyFont="1" applyFill="1" applyBorder="1" applyAlignment="1">
      <alignment vertical="top" wrapText="1"/>
    </xf>
    <xf numFmtId="0" fontId="10" fillId="0" borderId="9" xfId="0" applyFont="1" applyFill="1" applyBorder="1" applyAlignment="1">
      <alignment vertical="top" wrapText="1"/>
    </xf>
    <xf numFmtId="0" fontId="10" fillId="0" borderId="9" xfId="0" applyFont="1" applyFill="1" applyBorder="1" applyAlignment="1">
      <alignment horizontal="center" vertical="top" wrapText="1"/>
    </xf>
    <xf numFmtId="0" fontId="10" fillId="0" borderId="29" xfId="0" applyFont="1" applyFill="1" applyBorder="1" applyAlignment="1">
      <alignment horizontal="center" vertical="center" wrapText="1"/>
    </xf>
    <xf numFmtId="0" fontId="10" fillId="0" borderId="38" xfId="0" applyFont="1" applyFill="1" applyBorder="1" applyAlignment="1">
      <alignment horizontal="center" vertical="center" wrapText="1"/>
    </xf>
    <xf numFmtId="0" fontId="10" fillId="0" borderId="39" xfId="0" applyFont="1" applyFill="1" applyBorder="1" applyAlignment="1">
      <alignment horizontal="center" vertical="center" wrapText="1"/>
    </xf>
    <xf numFmtId="0" fontId="0" fillId="0" borderId="52" xfId="0" applyFill="1" applyBorder="1" applyAlignment="1">
      <alignment horizontal="center" vertical="top"/>
    </xf>
    <xf numFmtId="0" fontId="0" fillId="0" borderId="0" xfId="0"/>
    <xf numFmtId="0" fontId="0" fillId="0" borderId="0" xfId="0" applyNumberFormat="1"/>
    <xf numFmtId="0" fontId="0" fillId="0" borderId="5" xfId="0" applyBorder="1" applyAlignment="1" applyProtection="1">
      <alignment vertical="top" wrapText="1"/>
    </xf>
    <xf numFmtId="0" fontId="0" fillId="0" borderId="14" xfId="0" applyBorder="1" applyAlignment="1" applyProtection="1">
      <alignment vertical="top" wrapText="1"/>
    </xf>
    <xf numFmtId="0" fontId="0" fillId="0" borderId="15" xfId="0" applyBorder="1" applyAlignment="1" applyProtection="1">
      <alignment vertical="top" wrapText="1"/>
    </xf>
    <xf numFmtId="0" fontId="0" fillId="0" borderId="5" xfId="0" applyBorder="1" applyAlignment="1">
      <alignment vertical="top" wrapText="1"/>
    </xf>
    <xf numFmtId="0" fontId="0" fillId="0" borderId="1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11" fillId="5" borderId="8" xfId="0" applyFont="1" applyFill="1" applyBorder="1" applyAlignment="1">
      <alignment horizontal="center" wrapText="1"/>
    </xf>
    <xf numFmtId="0" fontId="11" fillId="5" borderId="9" xfId="0" applyFont="1" applyFill="1" applyBorder="1" applyAlignment="1">
      <alignment horizontal="center" wrapText="1"/>
    </xf>
    <xf numFmtId="0" fontId="11" fillId="5" borderId="27" xfId="0" applyFont="1" applyFill="1" applyBorder="1" applyAlignment="1">
      <alignment horizontal="center" wrapText="1"/>
    </xf>
    <xf numFmtId="0" fontId="11" fillId="5" borderId="5" xfId="0" applyFont="1" applyFill="1" applyBorder="1" applyAlignment="1">
      <alignment horizontal="center" wrapText="1"/>
    </xf>
    <xf numFmtId="0" fontId="11" fillId="5" borderId="15" xfId="0" applyFont="1" applyFill="1" applyBorder="1" applyAlignment="1">
      <alignment horizontal="center" wrapText="1"/>
    </xf>
  </cellXfs>
  <cellStyles count="3">
    <cellStyle name="Обычный" xfId="0" builtinId="0"/>
    <cellStyle name="Обычный 2" xfId="1"/>
    <cellStyle name="Обычный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87</xdr:row>
          <xdr:rowOff>19050</xdr:rowOff>
        </xdr:from>
        <xdr:to>
          <xdr:col>16</xdr:col>
          <xdr:colOff>38100</xdr:colOff>
          <xdr:row>87</xdr:row>
          <xdr:rowOff>238125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Актуализировать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87</xdr:row>
          <xdr:rowOff>19050</xdr:rowOff>
        </xdr:from>
        <xdr:to>
          <xdr:col>5</xdr:col>
          <xdr:colOff>142875</xdr:colOff>
          <xdr:row>87</xdr:row>
          <xdr:rowOff>238125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данных по системе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132</xdr:row>
          <xdr:rowOff>76200</xdr:rowOff>
        </xdr:from>
        <xdr:to>
          <xdr:col>3</xdr:col>
          <xdr:colOff>161925</xdr:colOff>
          <xdr:row>133</xdr:row>
          <xdr:rowOff>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Оформить на печать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132</xdr:row>
          <xdr:rowOff>57150</xdr:rowOff>
        </xdr:from>
        <xdr:to>
          <xdr:col>16</xdr:col>
          <xdr:colOff>247650</xdr:colOff>
          <xdr:row>132</xdr:row>
          <xdr:rowOff>466725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Новый 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47625</xdr:colOff>
      <xdr:row>0</xdr:row>
      <xdr:rowOff>76200</xdr:rowOff>
    </xdr:from>
    <xdr:to>
      <xdr:col>16</xdr:col>
      <xdr:colOff>571499</xdr:colOff>
      <xdr:row>0</xdr:row>
      <xdr:rowOff>1228725</xdr:rowOff>
    </xdr:to>
    <xdr:sp macro="" textlink="">
      <xdr:nvSpPr>
        <xdr:cNvPr id="1112" name="Object 88" hidden="1">
          <a:extLst>
            <a:ext uri="{63B3BB69-23CF-44E3-9099-C40C66FF867C}">
              <a14:compatExt xmlns:a14="http://schemas.microsoft.com/office/drawing/2010/main" spid="_x0000_s11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92</xdr:row>
          <xdr:rowOff>28575</xdr:rowOff>
        </xdr:from>
        <xdr:to>
          <xdr:col>1</xdr:col>
          <xdr:colOff>523875</xdr:colOff>
          <xdr:row>93</xdr:row>
          <xdr:rowOff>219075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Добавить/ Сбросить КИП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123826</xdr:rowOff>
    </xdr:from>
    <xdr:to>
      <xdr:col>16</xdr:col>
      <xdr:colOff>552449</xdr:colOff>
      <xdr:row>0</xdr:row>
      <xdr:rowOff>1162050</xdr:rowOff>
    </xdr:to>
    <xdr:sp macro="" textlink="">
      <xdr:nvSpPr>
        <xdr:cNvPr id="1406" name="Object 382" hidden="1">
          <a:extLst>
            <a:ext uri="{63B3BB69-23CF-44E3-9099-C40C66FF867C}">
              <a14:compatExt xmlns:a14="http://schemas.microsoft.com/office/drawing/2010/main" spid="_x0000_s14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88</xdr:row>
          <xdr:rowOff>19050</xdr:rowOff>
        </xdr:from>
        <xdr:to>
          <xdr:col>16</xdr:col>
          <xdr:colOff>38100</xdr:colOff>
          <xdr:row>88</xdr:row>
          <xdr:rowOff>238125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установку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88</xdr:row>
          <xdr:rowOff>19050</xdr:rowOff>
        </xdr:from>
        <xdr:to>
          <xdr:col>5</xdr:col>
          <xdr:colOff>142875</xdr:colOff>
          <xdr:row>88</xdr:row>
          <xdr:rowOff>238125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установку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38100</xdr:colOff>
      <xdr:row>0</xdr:row>
      <xdr:rowOff>47625</xdr:rowOff>
    </xdr:from>
    <xdr:to>
      <xdr:col>6</xdr:col>
      <xdr:colOff>224164</xdr:colOff>
      <xdr:row>2</xdr:row>
      <xdr:rowOff>197899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xmlns="" id="{30056D70-D172-46C5-B540-4E027BA36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47625"/>
          <a:ext cx="2719714" cy="5693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92</xdr:row>
          <xdr:rowOff>28575</xdr:rowOff>
        </xdr:from>
        <xdr:to>
          <xdr:col>14</xdr:col>
          <xdr:colOff>209550</xdr:colOff>
          <xdr:row>93</xdr:row>
          <xdr:rowOff>219075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оборудование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100</xdr:row>
          <xdr:rowOff>0</xdr:rowOff>
        </xdr:from>
        <xdr:to>
          <xdr:col>8</xdr:col>
          <xdr:colOff>0</xdr:colOff>
          <xdr:row>100</xdr:row>
          <xdr:rowOff>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КИП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100</xdr:row>
          <xdr:rowOff>0</xdr:rowOff>
        </xdr:from>
        <xdr:to>
          <xdr:col>16</xdr:col>
          <xdr:colOff>133350</xdr:colOff>
          <xdr:row>100</xdr:row>
          <xdr:rowOff>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Сформировать КИП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100</xdr:row>
          <xdr:rowOff>0</xdr:rowOff>
        </xdr:from>
        <xdr:to>
          <xdr:col>8</xdr:col>
          <xdr:colOff>0</xdr:colOff>
          <xdr:row>100</xdr:row>
          <xdr:rowOff>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КИП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100</xdr:row>
          <xdr:rowOff>0</xdr:rowOff>
        </xdr:from>
        <xdr:to>
          <xdr:col>16</xdr:col>
          <xdr:colOff>133350</xdr:colOff>
          <xdr:row>100</xdr:row>
          <xdr:rowOff>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Сформировать КИП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100</xdr:row>
          <xdr:rowOff>0</xdr:rowOff>
        </xdr:from>
        <xdr:to>
          <xdr:col>8</xdr:col>
          <xdr:colOff>0</xdr:colOff>
          <xdr:row>100</xdr:row>
          <xdr:rowOff>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КИП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100</xdr:row>
          <xdr:rowOff>0</xdr:rowOff>
        </xdr:from>
        <xdr:to>
          <xdr:col>16</xdr:col>
          <xdr:colOff>133350</xdr:colOff>
          <xdr:row>100</xdr:row>
          <xdr:rowOff>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Сформировать КИП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100</xdr:row>
          <xdr:rowOff>0</xdr:rowOff>
        </xdr:from>
        <xdr:to>
          <xdr:col>8</xdr:col>
          <xdr:colOff>0</xdr:colOff>
          <xdr:row>100</xdr:row>
          <xdr:rowOff>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КИП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100</xdr:row>
          <xdr:rowOff>0</xdr:rowOff>
        </xdr:from>
        <xdr:to>
          <xdr:col>16</xdr:col>
          <xdr:colOff>133350</xdr:colOff>
          <xdr:row>100</xdr:row>
          <xdr:rowOff>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Сформировать КИП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2</xdr:row>
          <xdr:rowOff>19050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КИП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2</xdr:row>
          <xdr:rowOff>19050</xdr:rowOff>
        </xdr:from>
        <xdr:to>
          <xdr:col>16</xdr:col>
          <xdr:colOff>133350</xdr:colOff>
          <xdr:row>3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Сформировать КИП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5</xdr:row>
          <xdr:rowOff>19050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КИП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5</xdr:row>
          <xdr:rowOff>19050</xdr:rowOff>
        </xdr:from>
        <xdr:to>
          <xdr:col>16</xdr:col>
          <xdr:colOff>133350</xdr:colOff>
          <xdr:row>6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Сформировать КИП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7</xdr:row>
          <xdr:rowOff>19050</xdr:rowOff>
        </xdr:from>
        <xdr:to>
          <xdr:col>7</xdr:col>
          <xdr:colOff>361950</xdr:colOff>
          <xdr:row>8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оборудование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BF197"/>
  <sheetViews>
    <sheetView tabSelected="1" topLeftCell="A81" zoomScaleNormal="100" zoomScaleSheetLayoutView="100" workbookViewId="0">
      <selection activeCell="H87" sqref="H87:Q90"/>
    </sheetView>
  </sheetViews>
  <sheetFormatPr defaultRowHeight="15" x14ac:dyDescent="0.25"/>
  <cols>
    <col min="1" max="1" width="7.42578125" style="231" customWidth="1"/>
    <col min="2" max="3" width="8.140625" style="231" customWidth="1"/>
    <col min="4" max="4" width="6.7109375" style="231" customWidth="1"/>
    <col min="5" max="5" width="4.42578125" style="231" customWidth="1"/>
    <col min="6" max="6" width="3.140625" style="231" customWidth="1"/>
    <col min="7" max="7" width="6.85546875" style="231" customWidth="1"/>
    <col min="8" max="8" width="3.140625" style="231" customWidth="1"/>
    <col min="9" max="9" width="7.5703125" style="231" customWidth="1"/>
    <col min="10" max="10" width="3.42578125" style="231" customWidth="1"/>
    <col min="11" max="11" width="5.140625" style="231" customWidth="1"/>
    <col min="12" max="13" width="3.85546875" style="231" customWidth="1"/>
    <col min="14" max="14" width="4.5703125" style="231" customWidth="1"/>
    <col min="15" max="15" width="3.5703125" style="231" customWidth="1"/>
    <col min="16" max="16" width="4.42578125" style="231" customWidth="1"/>
    <col min="17" max="17" width="9.28515625" style="231" customWidth="1"/>
    <col min="18" max="18" width="5.28515625" style="231" customWidth="1"/>
    <col min="19" max="19" width="5.7109375" style="231" customWidth="1"/>
    <col min="20" max="20" width="5.85546875" style="231" customWidth="1"/>
    <col min="21" max="21" width="5.140625" style="231" customWidth="1"/>
    <col min="22" max="22" width="11.140625" style="171" customWidth="1"/>
    <col min="23" max="24" width="10.85546875" style="231" customWidth="1"/>
    <col min="25" max="25" width="11.42578125" style="231" customWidth="1"/>
    <col min="26" max="26" width="14.28515625" style="231" customWidth="1"/>
    <col min="27" max="36" width="3.7109375" style="231" customWidth="1"/>
    <col min="37" max="37" width="6" style="231" customWidth="1"/>
    <col min="38" max="41" width="3.7109375" style="231" customWidth="1"/>
    <col min="42" max="42" width="3.7109375" style="243" customWidth="1"/>
    <col min="43" max="58" width="3.7109375" style="231" customWidth="1"/>
    <col min="59" max="16384" width="9.140625" style="231"/>
  </cols>
  <sheetData>
    <row r="1" spans="1:42" s="172" customFormat="1" ht="17.100000000000001" customHeight="1" x14ac:dyDescent="0.25">
      <c r="A1" s="343"/>
      <c r="B1" s="343"/>
      <c r="C1" s="343"/>
      <c r="D1" s="343"/>
      <c r="E1" s="343"/>
      <c r="F1" s="343"/>
      <c r="G1" s="343"/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285"/>
      <c r="S1" s="285"/>
      <c r="T1" s="285"/>
      <c r="U1" s="285"/>
      <c r="V1" s="240"/>
      <c r="W1" s="285"/>
      <c r="X1" s="285"/>
      <c r="AP1" s="241"/>
    </row>
    <row r="2" spans="1:42" s="285" customFormat="1" ht="17.100000000000001" customHeight="1" x14ac:dyDescent="0.25">
      <c r="A2" s="343"/>
      <c r="B2" s="343"/>
      <c r="C2" s="343"/>
      <c r="D2" s="343"/>
      <c r="E2" s="343"/>
      <c r="F2" s="343"/>
      <c r="G2" s="343"/>
      <c r="H2" s="469" t="s">
        <v>938</v>
      </c>
      <c r="I2" s="469"/>
      <c r="J2" s="469"/>
      <c r="K2" s="469"/>
      <c r="L2" s="469"/>
      <c r="M2" s="469"/>
      <c r="N2" s="469"/>
      <c r="O2" s="469"/>
      <c r="P2" s="469"/>
      <c r="Q2" s="469"/>
      <c r="V2" s="240"/>
      <c r="AP2" s="241"/>
    </row>
    <row r="3" spans="1:42" s="285" customFormat="1" ht="39" customHeight="1" x14ac:dyDescent="0.25">
      <c r="A3" s="343"/>
      <c r="B3" s="343"/>
      <c r="C3" s="343"/>
      <c r="D3" s="343"/>
      <c r="E3" s="343"/>
      <c r="F3" s="343"/>
      <c r="G3" s="343"/>
      <c r="H3" s="485" t="s">
        <v>939</v>
      </c>
      <c r="I3" s="485"/>
      <c r="J3" s="485"/>
      <c r="K3" s="485"/>
      <c r="L3" s="485"/>
      <c r="M3" s="485"/>
      <c r="N3" s="485"/>
      <c r="O3" s="485"/>
      <c r="P3" s="485"/>
      <c r="Q3" s="485"/>
      <c r="V3" s="240"/>
      <c r="AP3" s="241"/>
    </row>
    <row r="4" spans="1:42" s="285" customFormat="1" ht="24" customHeight="1" x14ac:dyDescent="0.25">
      <c r="A4" s="298" t="s">
        <v>788</v>
      </c>
      <c r="B4" s="298"/>
      <c r="C4" s="298"/>
      <c r="D4" s="298"/>
      <c r="E4" s="298"/>
      <c r="F4" s="298"/>
      <c r="G4" s="298"/>
      <c r="H4" s="486" t="s">
        <v>962</v>
      </c>
      <c r="I4" s="486"/>
      <c r="J4" s="486"/>
      <c r="K4" s="483" t="s">
        <v>985</v>
      </c>
      <c r="L4" s="483"/>
      <c r="M4" s="483"/>
      <c r="N4" s="483"/>
      <c r="O4" s="483"/>
      <c r="P4" s="483"/>
      <c r="Q4" s="483"/>
      <c r="V4" s="240"/>
      <c r="AP4" s="241"/>
    </row>
    <row r="5" spans="1:42" s="172" customFormat="1" ht="34.5" customHeight="1" x14ac:dyDescent="0.25">
      <c r="A5" s="486" t="s">
        <v>789</v>
      </c>
      <c r="B5" s="486"/>
      <c r="C5" s="486" t="s">
        <v>983</v>
      </c>
      <c r="D5" s="486"/>
      <c r="E5" s="486"/>
      <c r="F5" s="486"/>
      <c r="G5" s="486"/>
      <c r="H5" s="486"/>
      <c r="I5" s="486"/>
      <c r="J5" s="486"/>
      <c r="K5" s="483"/>
      <c r="L5" s="483"/>
      <c r="M5" s="483"/>
      <c r="N5" s="483"/>
      <c r="O5" s="483"/>
      <c r="P5" s="483"/>
      <c r="Q5" s="483"/>
      <c r="V5" s="240"/>
      <c r="AP5" s="241"/>
    </row>
    <row r="6" spans="1:42" s="171" customFormat="1" ht="1.5" customHeight="1" x14ac:dyDescent="0.25">
      <c r="A6" s="486"/>
      <c r="B6" s="486"/>
      <c r="C6" s="486"/>
      <c r="D6" s="486"/>
      <c r="E6" s="486"/>
      <c r="F6" s="486"/>
      <c r="G6" s="486"/>
      <c r="H6" s="486"/>
      <c r="I6" s="486"/>
      <c r="J6" s="486"/>
      <c r="K6" s="487"/>
      <c r="L6" s="487"/>
      <c r="M6" s="487"/>
      <c r="N6" s="487"/>
      <c r="O6" s="487"/>
      <c r="P6" s="487"/>
      <c r="Q6" s="487"/>
      <c r="V6" s="237"/>
      <c r="AP6" s="208"/>
    </row>
    <row r="7" spans="1:42" s="171" customFormat="1" ht="17.100000000000001" customHeight="1" x14ac:dyDescent="0.25">
      <c r="A7" s="360"/>
      <c r="B7" s="360"/>
      <c r="C7" s="360"/>
      <c r="D7" s="360"/>
      <c r="E7" s="360"/>
      <c r="F7" s="360"/>
      <c r="G7" s="360"/>
      <c r="H7" s="483" t="s">
        <v>963</v>
      </c>
      <c r="I7" s="483"/>
      <c r="J7" s="483"/>
      <c r="K7" s="409" t="s">
        <v>965</v>
      </c>
      <c r="L7" s="409"/>
      <c r="M7" s="409"/>
      <c r="N7" s="409"/>
      <c r="O7" s="409"/>
      <c r="P7" s="409"/>
      <c r="Q7" s="409"/>
      <c r="V7" s="237"/>
      <c r="AP7" s="208"/>
    </row>
    <row r="8" spans="1:42" s="171" customFormat="1" ht="17.100000000000001" customHeight="1" x14ac:dyDescent="0.25">
      <c r="A8" s="360"/>
      <c r="B8" s="360"/>
      <c r="C8" s="360"/>
      <c r="D8" s="360"/>
      <c r="E8" s="360"/>
      <c r="F8" s="360"/>
      <c r="G8" s="360"/>
      <c r="H8" s="484" t="s">
        <v>964</v>
      </c>
      <c r="I8" s="484"/>
      <c r="J8" s="484"/>
      <c r="K8" s="409" t="s">
        <v>984</v>
      </c>
      <c r="L8" s="409"/>
      <c r="M8" s="409"/>
      <c r="N8" s="409"/>
      <c r="O8" s="409"/>
      <c r="P8" s="409"/>
      <c r="Q8" s="409"/>
      <c r="V8" s="237"/>
      <c r="AP8" s="208"/>
    </row>
    <row r="9" spans="1:42" s="171" customFormat="1" ht="17.100000000000001" customHeight="1" x14ac:dyDescent="0.25">
      <c r="A9" s="288"/>
      <c r="B9" s="285"/>
      <c r="C9" s="289"/>
      <c r="D9" s="289"/>
      <c r="E9" s="289"/>
      <c r="F9" s="289"/>
      <c r="G9" s="289"/>
      <c r="H9" s="483" t="s">
        <v>787</v>
      </c>
      <c r="I9" s="483"/>
      <c r="J9" s="483"/>
      <c r="K9" s="409"/>
      <c r="L9" s="409"/>
      <c r="M9" s="409"/>
      <c r="N9" s="409"/>
      <c r="O9" s="409"/>
      <c r="P9" s="409"/>
      <c r="Q9" s="409"/>
      <c r="AP9" s="208"/>
    </row>
    <row r="10" spans="1:42" s="171" customFormat="1" ht="15.75" x14ac:dyDescent="0.25">
      <c r="A10" s="288"/>
      <c r="B10" s="285"/>
      <c r="C10" s="290"/>
      <c r="D10" s="290"/>
      <c r="E10" s="290"/>
      <c r="F10" s="290"/>
      <c r="G10" s="290"/>
      <c r="H10" s="482"/>
      <c r="I10" s="482"/>
      <c r="J10" s="482"/>
      <c r="K10" s="482"/>
      <c r="L10" s="482"/>
      <c r="M10" s="482"/>
      <c r="N10" s="482"/>
      <c r="O10" s="482"/>
      <c r="P10" s="482"/>
      <c r="Q10" s="482"/>
      <c r="AP10" s="208"/>
    </row>
    <row r="11" spans="1:42" s="294" customFormat="1" ht="20.100000000000001" customHeight="1" x14ac:dyDescent="0.3">
      <c r="A11" s="429" t="s">
        <v>940</v>
      </c>
      <c r="B11" s="429"/>
      <c r="C11" s="429"/>
      <c r="D11" s="429"/>
      <c r="E11" s="429"/>
      <c r="F11" s="429"/>
      <c r="G11" s="429"/>
      <c r="H11" s="429"/>
      <c r="I11" s="429"/>
      <c r="J11" s="429"/>
      <c r="K11" s="429"/>
      <c r="L11" s="429"/>
      <c r="M11" s="429"/>
      <c r="N11" s="429"/>
      <c r="O11" s="429"/>
      <c r="P11" s="429"/>
      <c r="Q11" s="429"/>
      <c r="AP11" s="297"/>
    </row>
    <row r="12" spans="1:42" s="171" customFormat="1" ht="51" customHeight="1" x14ac:dyDescent="0.25">
      <c r="A12" s="479" t="s">
        <v>986</v>
      </c>
      <c r="B12" s="479"/>
      <c r="C12" s="479"/>
      <c r="D12" s="479"/>
      <c r="E12" s="479"/>
      <c r="F12" s="479"/>
      <c r="G12" s="479"/>
      <c r="H12" s="479"/>
      <c r="I12" s="479"/>
      <c r="J12" s="479"/>
      <c r="K12" s="479"/>
      <c r="L12" s="479"/>
      <c r="M12" s="479"/>
      <c r="N12" s="479"/>
      <c r="O12" s="479"/>
      <c r="P12" s="479"/>
      <c r="Q12" s="479"/>
      <c r="AP12" s="208"/>
    </row>
    <row r="13" spans="1:42" s="284" customFormat="1" ht="19.5" customHeight="1" x14ac:dyDescent="0.25">
      <c r="A13" s="292"/>
      <c r="B13" s="292"/>
      <c r="C13" s="292"/>
      <c r="D13" s="292"/>
      <c r="E13" s="292"/>
      <c r="F13" s="292"/>
      <c r="G13" s="292"/>
      <c r="H13" s="292"/>
      <c r="I13" s="292"/>
      <c r="J13" s="292"/>
      <c r="K13" s="292"/>
      <c r="L13" s="292"/>
      <c r="M13" s="292"/>
      <c r="N13" s="292"/>
      <c r="O13" s="292"/>
      <c r="P13" s="292"/>
      <c r="Q13" s="292"/>
      <c r="AP13" s="208"/>
    </row>
    <row r="14" spans="1:42" s="294" customFormat="1" ht="20.100000000000001" customHeight="1" x14ac:dyDescent="0.3">
      <c r="A14" s="429" t="s">
        <v>793</v>
      </c>
      <c r="B14" s="429"/>
      <c r="C14" s="429"/>
      <c r="D14" s="429"/>
      <c r="E14" s="429"/>
      <c r="F14" s="429"/>
      <c r="G14" s="429"/>
      <c r="H14" s="429"/>
      <c r="I14" s="429"/>
      <c r="J14" s="429"/>
      <c r="K14" s="429"/>
      <c r="L14" s="429"/>
      <c r="M14" s="429"/>
      <c r="N14" s="429"/>
      <c r="O14" s="429"/>
      <c r="P14" s="429"/>
      <c r="Q14" s="429"/>
      <c r="AP14" s="297"/>
    </row>
    <row r="15" spans="1:42" s="284" customFormat="1" ht="147.75" customHeight="1" x14ac:dyDescent="0.25">
      <c r="A15" s="480" t="s">
        <v>814</v>
      </c>
      <c r="B15" s="481"/>
      <c r="C15" s="481"/>
      <c r="D15" s="481"/>
      <c r="E15" s="481"/>
      <c r="F15" s="481"/>
      <c r="G15" s="481"/>
      <c r="H15" s="481"/>
      <c r="I15" s="481"/>
      <c r="J15" s="481"/>
      <c r="K15" s="481"/>
      <c r="L15" s="481"/>
      <c r="M15" s="481"/>
      <c r="N15" s="481"/>
      <c r="O15" s="481"/>
      <c r="P15" s="481"/>
      <c r="Q15" s="481"/>
      <c r="AP15" s="208"/>
    </row>
    <row r="16" spans="1:42" s="294" customFormat="1" ht="20.100000000000001" customHeight="1" x14ac:dyDescent="0.3">
      <c r="A16" s="429" t="s">
        <v>794</v>
      </c>
      <c r="B16" s="429"/>
      <c r="C16" s="429"/>
      <c r="D16" s="429"/>
      <c r="E16" s="429"/>
      <c r="F16" s="429"/>
      <c r="G16" s="429"/>
      <c r="H16" s="429"/>
      <c r="I16" s="429"/>
      <c r="J16" s="429"/>
      <c r="K16" s="429"/>
      <c r="L16" s="429"/>
      <c r="M16" s="429"/>
      <c r="N16" s="429"/>
      <c r="O16" s="429"/>
      <c r="P16" s="429"/>
      <c r="Q16" s="429"/>
      <c r="AP16" s="297"/>
    </row>
    <row r="17" spans="1:58" s="171" customFormat="1" x14ac:dyDescent="0.25">
      <c r="AP17" s="208"/>
    </row>
    <row r="18" spans="1:58" s="171" customFormat="1" x14ac:dyDescent="0.25">
      <c r="A18" s="233" t="s">
        <v>71</v>
      </c>
      <c r="B18" s="366" t="s">
        <v>72</v>
      </c>
      <c r="C18" s="367"/>
      <c r="D18" s="367"/>
      <c r="E18" s="367"/>
      <c r="F18" s="367"/>
      <c r="G18" s="367"/>
      <c r="H18" s="367"/>
      <c r="I18" s="367"/>
      <c r="J18" s="367"/>
      <c r="K18" s="368"/>
      <c r="L18" s="366" t="s">
        <v>73</v>
      </c>
      <c r="M18" s="367"/>
      <c r="N18" s="367"/>
      <c r="O18" s="367"/>
      <c r="P18" s="367"/>
      <c r="Q18" s="368"/>
      <c r="AP18" s="208"/>
    </row>
    <row r="19" spans="1:58" s="171" customFormat="1" ht="17.100000000000001" customHeight="1" x14ac:dyDescent="0.25">
      <c r="A19" s="363" t="s">
        <v>800</v>
      </c>
      <c r="B19" s="398" t="s">
        <v>75</v>
      </c>
      <c r="C19" s="399"/>
      <c r="D19" s="399"/>
      <c r="E19" s="399"/>
      <c r="F19" s="399"/>
      <c r="G19" s="399"/>
      <c r="H19" s="399"/>
      <c r="I19" s="399"/>
      <c r="J19" s="399"/>
      <c r="K19" s="400"/>
      <c r="L19" s="476" t="s">
        <v>795</v>
      </c>
      <c r="M19" s="477"/>
      <c r="N19" s="477"/>
      <c r="O19" s="477"/>
      <c r="P19" s="477"/>
      <c r="Q19" s="478"/>
      <c r="AP19" s="208"/>
    </row>
    <row r="20" spans="1:58" s="171" customFormat="1" ht="17.100000000000001" customHeight="1" x14ac:dyDescent="0.25">
      <c r="A20" s="363" t="s">
        <v>801</v>
      </c>
      <c r="B20" s="398" t="s">
        <v>74</v>
      </c>
      <c r="C20" s="399"/>
      <c r="D20" s="399"/>
      <c r="E20" s="399"/>
      <c r="F20" s="399"/>
      <c r="G20" s="399"/>
      <c r="H20" s="399"/>
      <c r="I20" s="399"/>
      <c r="J20" s="399"/>
      <c r="K20" s="400"/>
      <c r="L20" s="398">
        <v>0</v>
      </c>
      <c r="M20" s="399"/>
      <c r="N20" s="399"/>
      <c r="O20" s="399"/>
      <c r="P20" s="399"/>
      <c r="Q20" s="400"/>
      <c r="AP20" s="208"/>
    </row>
    <row r="21" spans="1:58" s="171" customFormat="1" ht="17.100000000000001" customHeight="1" x14ac:dyDescent="0.25">
      <c r="A21" s="363" t="s">
        <v>802</v>
      </c>
      <c r="B21" s="398" t="s">
        <v>815</v>
      </c>
      <c r="C21" s="399"/>
      <c r="D21" s="399"/>
      <c r="E21" s="399"/>
      <c r="F21" s="399"/>
      <c r="G21" s="399"/>
      <c r="H21" s="399"/>
      <c r="I21" s="399"/>
      <c r="J21" s="399"/>
      <c r="K21" s="400"/>
      <c r="L21" s="473" t="s">
        <v>978</v>
      </c>
      <c r="M21" s="474"/>
      <c r="N21" s="474"/>
      <c r="O21" s="474"/>
      <c r="P21" s="474"/>
      <c r="Q21" s="475"/>
      <c r="AP21" s="208"/>
    </row>
    <row r="22" spans="1:58" s="171" customFormat="1" ht="30" customHeight="1" x14ac:dyDescent="0.25">
      <c r="A22" s="363" t="s">
        <v>803</v>
      </c>
      <c r="B22" s="457" t="s">
        <v>78</v>
      </c>
      <c r="C22" s="458"/>
      <c r="D22" s="458"/>
      <c r="E22" s="458"/>
      <c r="F22" s="458"/>
      <c r="G22" s="458"/>
      <c r="H22" s="458"/>
      <c r="I22" s="458"/>
      <c r="J22" s="458"/>
      <c r="K22" s="459"/>
      <c r="L22" s="470">
        <v>1</v>
      </c>
      <c r="M22" s="471"/>
      <c r="N22" s="471"/>
      <c r="O22" s="471"/>
      <c r="P22" s="471"/>
      <c r="Q22" s="472"/>
      <c r="AP22" s="208"/>
    </row>
    <row r="23" spans="1:58" s="171" customFormat="1" ht="30" customHeight="1" x14ac:dyDescent="0.25">
      <c r="A23" s="363" t="s">
        <v>703</v>
      </c>
      <c r="B23" s="457" t="s">
        <v>80</v>
      </c>
      <c r="C23" s="458"/>
      <c r="D23" s="458"/>
      <c r="E23" s="458"/>
      <c r="F23" s="458"/>
      <c r="G23" s="458"/>
      <c r="H23" s="458"/>
      <c r="I23" s="458"/>
      <c r="J23" s="458"/>
      <c r="K23" s="459"/>
      <c r="L23" s="457">
        <v>0.3</v>
      </c>
      <c r="M23" s="458"/>
      <c r="N23" s="458"/>
      <c r="O23" s="458"/>
      <c r="P23" s="458"/>
      <c r="Q23" s="459"/>
      <c r="AP23" s="208"/>
    </row>
    <row r="24" spans="1:58" s="171" customFormat="1" ht="30" customHeight="1" x14ac:dyDescent="0.25">
      <c r="A24" s="363" t="s">
        <v>804</v>
      </c>
      <c r="B24" s="457" t="s">
        <v>81</v>
      </c>
      <c r="C24" s="458"/>
      <c r="D24" s="458"/>
      <c r="E24" s="458"/>
      <c r="F24" s="458"/>
      <c r="G24" s="458"/>
      <c r="H24" s="458"/>
      <c r="I24" s="458"/>
      <c r="J24" s="458"/>
      <c r="K24" s="459"/>
      <c r="L24" s="415" t="s">
        <v>978</v>
      </c>
      <c r="M24" s="416"/>
      <c r="N24" s="416"/>
      <c r="O24" s="416"/>
      <c r="P24" s="416"/>
      <c r="Q24" s="417"/>
      <c r="AP24" s="208"/>
    </row>
    <row r="25" spans="1:58" s="171" customFormat="1" ht="17.100000000000001" customHeight="1" x14ac:dyDescent="0.25">
      <c r="A25" s="363" t="s">
        <v>805</v>
      </c>
      <c r="B25" s="398" t="s">
        <v>82</v>
      </c>
      <c r="C25" s="399"/>
      <c r="D25" s="399"/>
      <c r="E25" s="399"/>
      <c r="F25" s="399"/>
      <c r="G25" s="399"/>
      <c r="H25" s="399"/>
      <c r="I25" s="399"/>
      <c r="J25" s="399"/>
      <c r="K25" s="400"/>
      <c r="L25" s="460" t="s">
        <v>83</v>
      </c>
      <c r="M25" s="461"/>
      <c r="N25" s="461"/>
      <c r="O25" s="461"/>
      <c r="P25" s="461"/>
      <c r="Q25" s="462"/>
      <c r="AP25" s="208"/>
    </row>
    <row r="26" spans="1:58" s="171" customFormat="1" ht="17.100000000000001" customHeight="1" x14ac:dyDescent="0.25">
      <c r="A26" s="363" t="s">
        <v>806</v>
      </c>
      <c r="B26" s="398" t="s">
        <v>90</v>
      </c>
      <c r="C26" s="399"/>
      <c r="D26" s="399"/>
      <c r="E26" s="399"/>
      <c r="F26" s="399"/>
      <c r="G26" s="399"/>
      <c r="H26" s="399"/>
      <c r="I26" s="399"/>
      <c r="J26" s="399"/>
      <c r="K26" s="400"/>
      <c r="L26" s="460" t="s">
        <v>91</v>
      </c>
      <c r="M26" s="461"/>
      <c r="N26" s="461"/>
      <c r="O26" s="461"/>
      <c r="P26" s="461"/>
      <c r="Q26" s="462"/>
      <c r="S26" s="285"/>
      <c r="AP26" s="208"/>
      <c r="BF26" s="171">
        <v>60</v>
      </c>
    </row>
    <row r="27" spans="1:58" s="171" customFormat="1" ht="17.100000000000001" customHeight="1" x14ac:dyDescent="0.25">
      <c r="A27" s="363" t="s">
        <v>807</v>
      </c>
      <c r="B27" s="398" t="s">
        <v>92</v>
      </c>
      <c r="C27" s="399"/>
      <c r="D27" s="399"/>
      <c r="E27" s="399"/>
      <c r="F27" s="399"/>
      <c r="G27" s="399"/>
      <c r="H27" s="399"/>
      <c r="I27" s="399"/>
      <c r="J27" s="399"/>
      <c r="K27" s="400"/>
      <c r="L27" s="398" t="str">
        <f>VLOOKUP(L26,Лист3!C118:D120,2,0)</f>
        <v>+1…+40</v>
      </c>
      <c r="M27" s="399"/>
      <c r="N27" s="399"/>
      <c r="O27" s="399"/>
      <c r="P27" s="399"/>
      <c r="Q27" s="400"/>
      <c r="AP27" s="208"/>
    </row>
    <row r="28" spans="1:58" s="171" customFormat="1" ht="17.100000000000001" customHeight="1" x14ac:dyDescent="0.25">
      <c r="A28" s="363" t="s">
        <v>808</v>
      </c>
      <c r="B28" s="398" t="s">
        <v>96</v>
      </c>
      <c r="C28" s="399"/>
      <c r="D28" s="399"/>
      <c r="E28" s="399"/>
      <c r="F28" s="399"/>
      <c r="G28" s="399"/>
      <c r="H28" s="399"/>
      <c r="I28" s="399"/>
      <c r="J28" s="399"/>
      <c r="K28" s="400"/>
      <c r="L28" s="412" t="s">
        <v>97</v>
      </c>
      <c r="M28" s="413"/>
      <c r="N28" s="413"/>
      <c r="O28" s="413"/>
      <c r="P28" s="413"/>
      <c r="Q28" s="414"/>
      <c r="AA28" s="346"/>
      <c r="AB28" s="346"/>
      <c r="AC28" s="347"/>
      <c r="AD28" s="347"/>
      <c r="AE28" s="346"/>
      <c r="AF28" s="346"/>
      <c r="AG28" s="346"/>
      <c r="AH28" s="346"/>
      <c r="AI28" s="346"/>
      <c r="AJ28" s="346"/>
      <c r="AK28" s="346"/>
      <c r="AL28" s="346"/>
      <c r="AM28" s="346"/>
      <c r="AN28" s="346"/>
      <c r="AO28" s="350"/>
      <c r="AP28" s="51"/>
      <c r="AQ28" s="51"/>
      <c r="AR28" s="51"/>
      <c r="AS28" s="51"/>
    </row>
    <row r="29" spans="1:58" s="171" customFormat="1" ht="17.100000000000001" customHeight="1" x14ac:dyDescent="0.25">
      <c r="A29" s="363" t="s">
        <v>810</v>
      </c>
      <c r="B29" s="398" t="s">
        <v>98</v>
      </c>
      <c r="C29" s="399"/>
      <c r="D29" s="399"/>
      <c r="E29" s="399"/>
      <c r="F29" s="399"/>
      <c r="G29" s="399"/>
      <c r="H29" s="399"/>
      <c r="I29" s="399"/>
      <c r="J29" s="399"/>
      <c r="K29" s="400"/>
      <c r="L29" s="412" t="s">
        <v>99</v>
      </c>
      <c r="M29" s="413"/>
      <c r="N29" s="413"/>
      <c r="O29" s="413"/>
      <c r="P29" s="413"/>
      <c r="Q29" s="414"/>
      <c r="AA29" s="346"/>
      <c r="AB29" s="346"/>
      <c r="AC29" s="347"/>
      <c r="AD29" s="348"/>
      <c r="AE29" s="348"/>
      <c r="AF29" s="346"/>
      <c r="AG29" s="346"/>
      <c r="AH29" s="346"/>
      <c r="AI29" s="346"/>
      <c r="AJ29" s="346"/>
      <c r="AK29" s="346"/>
      <c r="AL29" s="346"/>
      <c r="AM29" s="346"/>
      <c r="AN29" s="346"/>
      <c r="AO29" s="350"/>
      <c r="AP29" s="51"/>
      <c r="AQ29" s="51"/>
      <c r="AR29" s="51"/>
      <c r="AS29" s="51"/>
    </row>
    <row r="30" spans="1:58" s="171" customFormat="1" ht="30" customHeight="1" x14ac:dyDescent="0.25">
      <c r="A30" s="170" t="s">
        <v>809</v>
      </c>
      <c r="B30" s="401" t="s">
        <v>111</v>
      </c>
      <c r="C30" s="402"/>
      <c r="D30" s="402"/>
      <c r="E30" s="402"/>
      <c r="F30" s="402"/>
      <c r="G30" s="402"/>
      <c r="H30" s="402"/>
      <c r="I30" s="402"/>
      <c r="J30" s="402"/>
      <c r="K30" s="403"/>
      <c r="L30" s="415" t="s">
        <v>112</v>
      </c>
      <c r="M30" s="416"/>
      <c r="N30" s="416"/>
      <c r="O30" s="416"/>
      <c r="P30" s="416"/>
      <c r="Q30" s="417"/>
      <c r="AA30" s="346"/>
      <c r="AB30" s="346"/>
      <c r="AC30" s="347"/>
      <c r="AD30" s="348"/>
      <c r="AE30" s="348"/>
      <c r="AF30" s="346"/>
      <c r="AG30" s="346"/>
      <c r="AH30" s="346"/>
      <c r="AI30" s="346"/>
      <c r="AJ30" s="346"/>
      <c r="AK30" s="346"/>
      <c r="AL30" s="346"/>
      <c r="AM30" s="346"/>
      <c r="AN30" s="346"/>
      <c r="AO30" s="349"/>
      <c r="AP30" s="349"/>
      <c r="AQ30" s="349"/>
      <c r="AR30" s="349"/>
      <c r="AS30" s="349"/>
      <c r="AT30" s="344"/>
      <c r="AU30" s="344"/>
      <c r="AV30" s="344"/>
      <c r="AW30" s="344"/>
      <c r="AX30" s="344"/>
      <c r="AY30" s="344"/>
      <c r="AZ30" s="344"/>
      <c r="BA30" s="344"/>
      <c r="BB30" s="344"/>
      <c r="BC30" s="344"/>
      <c r="BD30" s="344"/>
      <c r="BE30" s="344"/>
    </row>
    <row r="31" spans="1:58" s="171" customFormat="1" ht="43.5" customHeight="1" x14ac:dyDescent="0.25">
      <c r="A31" s="256"/>
      <c r="B31" s="256"/>
      <c r="C31" s="256"/>
      <c r="D31" s="256"/>
      <c r="E31" s="256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V31" s="302" t="s">
        <v>670</v>
      </c>
      <c r="W31" s="302" t="s">
        <v>670</v>
      </c>
      <c r="X31" s="302" t="s">
        <v>363</v>
      </c>
      <c r="Y31" s="302" t="s">
        <v>363</v>
      </c>
      <c r="AA31" s="344"/>
      <c r="AB31" s="344"/>
      <c r="AC31" s="344"/>
      <c r="AD31" s="344"/>
      <c r="AE31" s="344"/>
      <c r="AF31" s="344"/>
      <c r="AG31" s="344"/>
      <c r="AH31" s="344"/>
      <c r="AI31" s="344"/>
      <c r="AJ31" s="344"/>
      <c r="AK31" s="344"/>
      <c r="AL31" s="344"/>
      <c r="AM31" s="344"/>
      <c r="AN31" s="344"/>
      <c r="AO31" s="344"/>
      <c r="AP31" s="345"/>
      <c r="AQ31" s="344"/>
      <c r="AR31" s="344"/>
      <c r="AS31" s="344"/>
      <c r="AT31" s="344"/>
      <c r="AU31" s="344"/>
      <c r="AV31" s="344"/>
      <c r="AW31" s="344"/>
      <c r="AX31" s="344"/>
      <c r="AY31" s="344"/>
      <c r="AZ31" s="344"/>
      <c r="BA31" s="344"/>
      <c r="BB31" s="344"/>
      <c r="BC31" s="344"/>
      <c r="BD31" s="344"/>
      <c r="BE31" s="344"/>
    </row>
    <row r="32" spans="1:58" s="254" customFormat="1" ht="20.100000000000001" customHeight="1" thickBot="1" x14ac:dyDescent="0.3">
      <c r="A32" s="429" t="s">
        <v>813</v>
      </c>
      <c r="B32" s="429"/>
      <c r="C32" s="429"/>
      <c r="D32" s="429"/>
      <c r="E32" s="429"/>
      <c r="F32" s="429"/>
      <c r="G32" s="429"/>
      <c r="H32" s="429"/>
      <c r="I32" s="429"/>
      <c r="J32" s="429"/>
      <c r="K32" s="429"/>
      <c r="L32" s="429"/>
      <c r="M32" s="429"/>
      <c r="N32" s="429"/>
      <c r="O32" s="429"/>
      <c r="P32" s="429"/>
      <c r="Q32" s="429"/>
      <c r="R32" s="303">
        <v>33</v>
      </c>
      <c r="S32" s="304">
        <v>1</v>
      </c>
      <c r="T32" s="254">
        <v>88</v>
      </c>
      <c r="U32" s="254">
        <v>86</v>
      </c>
      <c r="V32" s="302" t="s">
        <v>865</v>
      </c>
      <c r="W32" s="302" t="s">
        <v>866</v>
      </c>
      <c r="X32" s="302" t="s">
        <v>865</v>
      </c>
      <c r="Y32" s="302" t="s">
        <v>866</v>
      </c>
      <c r="AA32" s="344"/>
      <c r="AB32" s="344"/>
      <c r="AC32" s="344"/>
      <c r="AD32" s="344"/>
      <c r="AE32" s="344"/>
      <c r="AF32" s="344"/>
      <c r="AG32" s="344"/>
      <c r="AH32" s="344"/>
      <c r="AI32" s="344"/>
      <c r="AJ32" s="344"/>
      <c r="AK32" s="344"/>
      <c r="AL32" s="344"/>
      <c r="AM32" s="344"/>
      <c r="AN32" s="344"/>
      <c r="AO32" s="344"/>
      <c r="AP32" s="345"/>
      <c r="AQ32" s="344"/>
      <c r="AR32" s="344"/>
      <c r="AS32" s="344"/>
      <c r="AT32" s="344"/>
      <c r="AU32" s="344"/>
      <c r="AV32" s="344"/>
      <c r="AW32" s="344"/>
      <c r="AX32" s="344"/>
      <c r="AY32" s="344"/>
      <c r="AZ32" s="344"/>
      <c r="BA32" s="344"/>
      <c r="BB32" s="344"/>
      <c r="BC32" s="344"/>
      <c r="BD32" s="344"/>
      <c r="BE32" s="344"/>
    </row>
    <row r="33" spans="1:42" s="243" customFormat="1" ht="20.25" customHeight="1" thickBot="1" x14ac:dyDescent="0.3">
      <c r="A33" s="309">
        <v>1</v>
      </c>
      <c r="B33" s="463" t="s">
        <v>812</v>
      </c>
      <c r="C33" s="463"/>
      <c r="D33" s="463"/>
      <c r="E33" s="463"/>
      <c r="F33" s="463"/>
      <c r="G33" s="463"/>
      <c r="H33" s="463"/>
      <c r="I33" s="463"/>
      <c r="J33" s="464"/>
      <c r="K33" s="464"/>
      <c r="L33" s="464"/>
      <c r="M33" s="465"/>
      <c r="N33" s="419" t="s">
        <v>965</v>
      </c>
      <c r="O33" s="420"/>
      <c r="P33" s="420"/>
      <c r="Q33" s="421"/>
      <c r="R33" s="284"/>
      <c r="S33" s="284"/>
      <c r="T33" s="284"/>
      <c r="U33" s="284"/>
      <c r="V33" s="302"/>
      <c r="W33" s="302"/>
      <c r="X33" s="302"/>
      <c r="Y33" s="302"/>
    </row>
    <row r="34" spans="1:42" s="243" customFormat="1" ht="18" customHeight="1" thickBot="1" x14ac:dyDescent="0.3">
      <c r="A34" s="255" t="s">
        <v>261</v>
      </c>
      <c r="B34" s="395" t="s">
        <v>72</v>
      </c>
      <c r="C34" s="396"/>
      <c r="D34" s="396"/>
      <c r="E34" s="396"/>
      <c r="F34" s="396"/>
      <c r="G34" s="396"/>
      <c r="H34" s="396"/>
      <c r="I34" s="397"/>
      <c r="J34" s="395" t="s">
        <v>264</v>
      </c>
      <c r="K34" s="396"/>
      <c r="L34" s="396"/>
      <c r="M34" s="396"/>
      <c r="N34" s="396"/>
      <c r="O34" s="396"/>
      <c r="P34" s="397"/>
      <c r="Q34" s="300" t="s">
        <v>263</v>
      </c>
      <c r="V34" s="208"/>
    </row>
    <row r="35" spans="1:42" s="243" customFormat="1" ht="33" customHeight="1" x14ac:dyDescent="0.25">
      <c r="A35" s="489" t="str">
        <f>U35&amp;T35</f>
        <v>0.</v>
      </c>
      <c r="B35" s="490" t="s">
        <v>816</v>
      </c>
      <c r="C35" s="490"/>
      <c r="D35" s="490"/>
      <c r="E35" s="490"/>
      <c r="F35" s="490"/>
      <c r="G35" s="490"/>
      <c r="H35" s="490"/>
      <c r="I35" s="490"/>
      <c r="J35" s="491" t="s">
        <v>407</v>
      </c>
      <c r="K35" s="491"/>
      <c r="L35" s="491"/>
      <c r="M35" s="491"/>
      <c r="N35" s="491"/>
      <c r="O35" s="491"/>
      <c r="P35" s="491"/>
      <c r="Q35" s="446">
        <v>0</v>
      </c>
      <c r="R35" s="247">
        <f>Q35</f>
        <v>0</v>
      </c>
      <c r="S35" s="391">
        <f>IF(Q35=0,0,1)</f>
        <v>0</v>
      </c>
      <c r="T35" s="247" t="s">
        <v>206</v>
      </c>
      <c r="U35" s="391">
        <f>SUM(S34:S36)</f>
        <v>0</v>
      </c>
      <c r="V35" s="208"/>
      <c r="X35" s="405">
        <f>IF(Q35=0,0,1)</f>
        <v>0</v>
      </c>
      <c r="Z35" s="329" t="s">
        <v>905</v>
      </c>
    </row>
    <row r="36" spans="1:42" s="243" customFormat="1" ht="18.75" customHeight="1" x14ac:dyDescent="0.25">
      <c r="A36" s="466"/>
      <c r="B36" s="394" t="s">
        <v>855</v>
      </c>
      <c r="C36" s="394"/>
      <c r="D36" s="394"/>
      <c r="E36" s="394"/>
      <c r="F36" s="394"/>
      <c r="G36" s="394"/>
      <c r="H36" s="394"/>
      <c r="I36" s="394"/>
      <c r="J36" s="418">
        <v>0</v>
      </c>
      <c r="K36" s="418"/>
      <c r="L36" s="418"/>
      <c r="M36" s="418"/>
      <c r="N36" s="418"/>
      <c r="O36" s="418"/>
      <c r="P36" s="301" t="s">
        <v>345</v>
      </c>
      <c r="Q36" s="446"/>
      <c r="R36" s="247">
        <f>Q35</f>
        <v>0</v>
      </c>
      <c r="S36" s="391"/>
      <c r="T36" s="247"/>
      <c r="U36" s="391"/>
      <c r="V36" s="208">
        <f>J36*Q35</f>
        <v>0</v>
      </c>
      <c r="X36" s="405"/>
    </row>
    <row r="37" spans="1:42" ht="17.100000000000001" customHeight="1" x14ac:dyDescent="0.25">
      <c r="A37" s="466" t="str">
        <f>U37&amp;T37</f>
        <v>0.</v>
      </c>
      <c r="B37" s="467" t="str">
        <f>Лист3!$A$153</f>
        <v>Жидкостный нагреватель предварительного нагрева</v>
      </c>
      <c r="C37" s="467"/>
      <c r="D37" s="467"/>
      <c r="E37" s="467"/>
      <c r="F37" s="467"/>
      <c r="G37" s="467"/>
      <c r="H37" s="467"/>
      <c r="I37" s="467"/>
      <c r="J37" s="373" t="s">
        <v>819</v>
      </c>
      <c r="K37" s="373"/>
      <c r="L37" s="373"/>
      <c r="M37" s="373"/>
      <c r="N37" s="373"/>
      <c r="O37" s="373"/>
      <c r="P37" s="373"/>
      <c r="Q37" s="446">
        <v>0</v>
      </c>
      <c r="R37" s="258">
        <f>Q37</f>
        <v>0</v>
      </c>
      <c r="S37" s="391">
        <f>IF(Q37=0,0,1)</f>
        <v>0</v>
      </c>
      <c r="T37" s="247" t="s">
        <v>206</v>
      </c>
      <c r="U37" s="391">
        <f>SUM(S34:S37)</f>
        <v>0</v>
      </c>
      <c r="V37" s="390">
        <f>N38*Q37</f>
        <v>0</v>
      </c>
      <c r="W37" s="243"/>
      <c r="X37" s="370">
        <f>IF(Q37=0,0,VLOOKUP(N39,Техника!$X$50:$Y$55,2,0))</f>
        <v>0</v>
      </c>
    </row>
    <row r="38" spans="1:42" s="281" customFormat="1" ht="17.100000000000001" customHeight="1" x14ac:dyDescent="0.25">
      <c r="A38" s="466"/>
      <c r="B38" s="467"/>
      <c r="C38" s="467"/>
      <c r="D38" s="467"/>
      <c r="E38" s="467"/>
      <c r="F38" s="467"/>
      <c r="G38" s="467"/>
      <c r="H38" s="467"/>
      <c r="I38" s="467"/>
      <c r="J38" s="371" t="s">
        <v>894</v>
      </c>
      <c r="K38" s="371"/>
      <c r="L38" s="371"/>
      <c r="M38" s="371"/>
      <c r="N38" s="385">
        <v>0.05</v>
      </c>
      <c r="O38" s="385"/>
      <c r="P38" s="353" t="s">
        <v>345</v>
      </c>
      <c r="Q38" s="446"/>
      <c r="R38" s="286">
        <f>Q37</f>
        <v>0</v>
      </c>
      <c r="S38" s="391"/>
      <c r="T38" s="286"/>
      <c r="U38" s="391"/>
      <c r="V38" s="390"/>
      <c r="W38" s="257"/>
      <c r="X38" s="370"/>
      <c r="AP38" s="257"/>
    </row>
    <row r="39" spans="1:42" s="281" customFormat="1" ht="17.100000000000001" customHeight="1" x14ac:dyDescent="0.25">
      <c r="A39" s="466"/>
      <c r="B39" s="467"/>
      <c r="C39" s="467"/>
      <c r="D39" s="467"/>
      <c r="E39" s="467"/>
      <c r="F39" s="467"/>
      <c r="G39" s="467"/>
      <c r="H39" s="467"/>
      <c r="I39" s="467"/>
      <c r="J39" s="371" t="s">
        <v>895</v>
      </c>
      <c r="K39" s="371"/>
      <c r="L39" s="371"/>
      <c r="M39" s="371"/>
      <c r="N39" s="393">
        <v>220</v>
      </c>
      <c r="O39" s="393"/>
      <c r="P39" s="353" t="s">
        <v>20</v>
      </c>
      <c r="Q39" s="446"/>
      <c r="R39" s="286">
        <f>Q37</f>
        <v>0</v>
      </c>
      <c r="S39" s="391"/>
      <c r="T39" s="286"/>
      <c r="U39" s="391"/>
      <c r="V39" s="390"/>
      <c r="W39" s="257"/>
      <c r="X39" s="370"/>
      <c r="AP39" s="257"/>
    </row>
    <row r="40" spans="1:42" ht="17.100000000000001" customHeight="1" x14ac:dyDescent="0.25">
      <c r="A40" s="404" t="str">
        <f>U40&amp;T40</f>
        <v>0.</v>
      </c>
      <c r="B40" s="422" t="str">
        <f>Лист3!$A$154</f>
        <v>Электронагреватель предварительного нагрева</v>
      </c>
      <c r="C40" s="422"/>
      <c r="D40" s="422"/>
      <c r="E40" s="422"/>
      <c r="F40" s="422"/>
      <c r="G40" s="422"/>
      <c r="H40" s="422"/>
      <c r="I40" s="422"/>
      <c r="J40" s="386" t="s">
        <v>896</v>
      </c>
      <c r="K40" s="386"/>
      <c r="L40" s="386"/>
      <c r="M40" s="386"/>
      <c r="N40" s="447">
        <v>2.2000000000000002</v>
      </c>
      <c r="O40" s="447"/>
      <c r="P40" s="352" t="s">
        <v>345</v>
      </c>
      <c r="Q40" s="387">
        <v>0</v>
      </c>
      <c r="R40" s="258">
        <f>Q40</f>
        <v>0</v>
      </c>
      <c r="S40" s="369">
        <f>IF(Q40=0,0,1)</f>
        <v>0</v>
      </c>
      <c r="T40" s="248" t="s">
        <v>206</v>
      </c>
      <c r="U40" s="369">
        <f>SUM(S34:S42)</f>
        <v>0</v>
      </c>
      <c r="V40" s="370">
        <f>N40*Q40</f>
        <v>0</v>
      </c>
      <c r="X40" s="390">
        <f>IF(Q40=0,0,VLOOKUP(N41,Техника!X50:Y55,2,0))</f>
        <v>0</v>
      </c>
    </row>
    <row r="41" spans="1:42" ht="17.100000000000001" customHeight="1" x14ac:dyDescent="0.25">
      <c r="A41" s="404"/>
      <c r="B41" s="422"/>
      <c r="C41" s="422"/>
      <c r="D41" s="422"/>
      <c r="E41" s="422"/>
      <c r="F41" s="422"/>
      <c r="G41" s="422"/>
      <c r="H41" s="422"/>
      <c r="I41" s="422"/>
      <c r="J41" s="386" t="s">
        <v>895</v>
      </c>
      <c r="K41" s="386"/>
      <c r="L41" s="386"/>
      <c r="M41" s="386"/>
      <c r="N41" s="373">
        <v>220</v>
      </c>
      <c r="O41" s="373"/>
      <c r="P41" s="353" t="s">
        <v>20</v>
      </c>
      <c r="Q41" s="387"/>
      <c r="R41" s="248">
        <f>Q40</f>
        <v>0</v>
      </c>
      <c r="S41" s="369"/>
      <c r="T41" s="248"/>
      <c r="U41" s="369"/>
      <c r="V41" s="370"/>
      <c r="X41" s="390"/>
    </row>
    <row r="42" spans="1:42" ht="17.100000000000001" customHeight="1" x14ac:dyDescent="0.25">
      <c r="A42" s="404"/>
      <c r="B42" s="488" t="s">
        <v>358</v>
      </c>
      <c r="C42" s="488"/>
      <c r="D42" s="488"/>
      <c r="E42" s="488"/>
      <c r="F42" s="488"/>
      <c r="G42" s="488"/>
      <c r="H42" s="488"/>
      <c r="I42" s="488"/>
      <c r="J42" s="392"/>
      <c r="K42" s="392"/>
      <c r="L42" s="392"/>
      <c r="M42" s="392"/>
      <c r="N42" s="392"/>
      <c r="O42" s="392"/>
      <c r="P42" s="392"/>
      <c r="Q42" s="387"/>
      <c r="R42" s="248">
        <f>Q40</f>
        <v>0</v>
      </c>
      <c r="S42" s="369"/>
      <c r="T42" s="248"/>
      <c r="U42" s="369"/>
      <c r="V42" s="370"/>
      <c r="X42" s="390"/>
    </row>
    <row r="43" spans="1:42" ht="17.100000000000001" customHeight="1" x14ac:dyDescent="0.25">
      <c r="A43" s="404" t="str">
        <f>U43&amp;T43</f>
        <v>0.</v>
      </c>
      <c r="B43" s="422" t="s">
        <v>841</v>
      </c>
      <c r="C43" s="422"/>
      <c r="D43" s="422"/>
      <c r="E43" s="422"/>
      <c r="F43" s="422"/>
      <c r="G43" s="422"/>
      <c r="H43" s="422"/>
      <c r="I43" s="422"/>
      <c r="J43" s="406" t="str">
        <f>Лист3!$A$155</f>
        <v>Приточная часть</v>
      </c>
      <c r="K43" s="406"/>
      <c r="L43" s="406"/>
      <c r="M43" s="406"/>
      <c r="N43" s="406"/>
      <c r="O43" s="406"/>
      <c r="P43" s="406"/>
      <c r="Q43" s="365">
        <v>0</v>
      </c>
      <c r="R43" s="258">
        <f>Q43</f>
        <v>0</v>
      </c>
      <c r="S43" s="248">
        <f>IF(Q43=0,IF(Q44=0,0,1),1)</f>
        <v>0</v>
      </c>
      <c r="T43" s="248" t="s">
        <v>206</v>
      </c>
      <c r="U43" s="248">
        <f>SUM(S34:S43)</f>
        <v>0</v>
      </c>
    </row>
    <row r="44" spans="1:42" s="281" customFormat="1" ht="17.100000000000001" customHeight="1" x14ac:dyDescent="0.25">
      <c r="A44" s="404"/>
      <c r="B44" s="422"/>
      <c r="C44" s="422"/>
      <c r="D44" s="422"/>
      <c r="E44" s="422"/>
      <c r="F44" s="422"/>
      <c r="G44" s="422"/>
      <c r="H44" s="422"/>
      <c r="I44" s="422"/>
      <c r="J44" s="406" t="str">
        <f>Лист3!$A$156</f>
        <v>Вытяжная часть</v>
      </c>
      <c r="K44" s="406"/>
      <c r="L44" s="406"/>
      <c r="M44" s="406"/>
      <c r="N44" s="406"/>
      <c r="O44" s="406"/>
      <c r="P44" s="406"/>
      <c r="Q44" s="365">
        <v>0</v>
      </c>
      <c r="R44" s="286">
        <f>Q44</f>
        <v>0</v>
      </c>
      <c r="S44" s="278"/>
      <c r="T44" s="278"/>
      <c r="U44" s="278"/>
      <c r="V44" s="284"/>
      <c r="AP44" s="257"/>
    </row>
    <row r="45" spans="1:42" ht="33" customHeight="1" x14ac:dyDescent="0.25">
      <c r="A45" s="363" t="str">
        <f>U45&amp;T45</f>
        <v>0.</v>
      </c>
      <c r="B45" s="423" t="s">
        <v>842</v>
      </c>
      <c r="C45" s="423"/>
      <c r="D45" s="423"/>
      <c r="E45" s="423"/>
      <c r="F45" s="423"/>
      <c r="G45" s="423"/>
      <c r="H45" s="423"/>
      <c r="I45" s="423"/>
      <c r="J45" s="373" t="s">
        <v>724</v>
      </c>
      <c r="K45" s="373"/>
      <c r="L45" s="373"/>
      <c r="M45" s="373"/>
      <c r="N45" s="373"/>
      <c r="O45" s="373"/>
      <c r="P45" s="373"/>
      <c r="Q45" s="365">
        <v>0</v>
      </c>
      <c r="R45" s="258">
        <f>Q45</f>
        <v>0</v>
      </c>
      <c r="S45" s="248">
        <f>IF(Q45=0,0,1)</f>
        <v>0</v>
      </c>
      <c r="T45" s="248" t="s">
        <v>206</v>
      </c>
      <c r="U45" s="248">
        <f>SUM(S34:S45)</f>
        <v>0</v>
      </c>
    </row>
    <row r="46" spans="1:42" ht="33" customHeight="1" x14ac:dyDescent="0.25">
      <c r="A46" s="363" t="str">
        <f>U46&amp;T46</f>
        <v>0.</v>
      </c>
      <c r="B46" s="423" t="s">
        <v>932</v>
      </c>
      <c r="C46" s="423"/>
      <c r="D46" s="423"/>
      <c r="E46" s="423"/>
      <c r="F46" s="423"/>
      <c r="G46" s="423"/>
      <c r="H46" s="423"/>
      <c r="I46" s="423"/>
      <c r="J46" s="373" t="s">
        <v>933</v>
      </c>
      <c r="K46" s="373"/>
      <c r="L46" s="373"/>
      <c r="M46" s="373"/>
      <c r="N46" s="373"/>
      <c r="O46" s="373"/>
      <c r="P46" s="373"/>
      <c r="Q46" s="365">
        <v>0</v>
      </c>
      <c r="R46" s="258">
        <f>Q46</f>
        <v>0</v>
      </c>
      <c r="S46" s="248">
        <f>IF(Q46=0,0,1)</f>
        <v>0</v>
      </c>
      <c r="T46" s="248" t="s">
        <v>206</v>
      </c>
      <c r="U46" s="248">
        <f>SUM(S34:S46)</f>
        <v>0</v>
      </c>
    </row>
    <row r="47" spans="1:42" ht="17.100000000000001" customHeight="1" x14ac:dyDescent="0.25">
      <c r="A47" s="404" t="str">
        <f>U47&amp;T47</f>
        <v>0.</v>
      </c>
      <c r="B47" s="407" t="str">
        <f>Лист3!$A$157</f>
        <v>Жидкостный (гликолевый) теплоутилизатор</v>
      </c>
      <c r="C47" s="407"/>
      <c r="D47" s="407"/>
      <c r="E47" s="407"/>
      <c r="F47" s="407"/>
      <c r="G47" s="407"/>
      <c r="H47" s="407"/>
      <c r="I47" s="407"/>
      <c r="J47" s="373" t="s">
        <v>819</v>
      </c>
      <c r="K47" s="373"/>
      <c r="L47" s="373"/>
      <c r="M47" s="373"/>
      <c r="N47" s="373"/>
      <c r="O47" s="373"/>
      <c r="P47" s="373"/>
      <c r="Q47" s="387">
        <v>0</v>
      </c>
      <c r="R47" s="258">
        <f>Q47</f>
        <v>0</v>
      </c>
      <c r="S47" s="369">
        <f>IF(Q47=0,0,1)</f>
        <v>0</v>
      </c>
      <c r="T47" s="248" t="s">
        <v>206</v>
      </c>
      <c r="U47" s="369">
        <f>SUM(S34:S47)</f>
        <v>0</v>
      </c>
      <c r="V47" s="370">
        <f>N48*Q47</f>
        <v>0</v>
      </c>
      <c r="X47" s="370">
        <f>IF(Q47=0,0,VLOOKUP(N49,Техника!$X$50:$Y$55,2,0))</f>
        <v>0</v>
      </c>
      <c r="Z47" s="330"/>
    </row>
    <row r="48" spans="1:42" s="281" customFormat="1" ht="17.100000000000001" customHeight="1" x14ac:dyDescent="0.25">
      <c r="A48" s="404"/>
      <c r="B48" s="407"/>
      <c r="C48" s="407"/>
      <c r="D48" s="407"/>
      <c r="E48" s="407"/>
      <c r="F48" s="407"/>
      <c r="G48" s="407"/>
      <c r="H48" s="407"/>
      <c r="I48" s="407"/>
      <c r="J48" s="371" t="s">
        <v>897</v>
      </c>
      <c r="K48" s="371"/>
      <c r="L48" s="371"/>
      <c r="M48" s="371"/>
      <c r="N48" s="385"/>
      <c r="O48" s="385"/>
      <c r="P48" s="353" t="s">
        <v>345</v>
      </c>
      <c r="Q48" s="387"/>
      <c r="R48" s="286">
        <f>Q47</f>
        <v>0</v>
      </c>
      <c r="S48" s="369"/>
      <c r="T48" s="278"/>
      <c r="U48" s="369"/>
      <c r="V48" s="370"/>
      <c r="X48" s="370"/>
      <c r="Z48" s="330"/>
      <c r="AP48" s="257"/>
    </row>
    <row r="49" spans="1:26" ht="17.100000000000001" customHeight="1" x14ac:dyDescent="0.25">
      <c r="A49" s="404"/>
      <c r="B49" s="407"/>
      <c r="C49" s="407"/>
      <c r="D49" s="407"/>
      <c r="E49" s="407"/>
      <c r="F49" s="407"/>
      <c r="G49" s="407"/>
      <c r="H49" s="407"/>
      <c r="I49" s="407"/>
      <c r="J49" s="371" t="s">
        <v>895</v>
      </c>
      <c r="K49" s="371"/>
      <c r="L49" s="371"/>
      <c r="M49" s="371"/>
      <c r="N49" s="393">
        <v>380</v>
      </c>
      <c r="O49" s="393"/>
      <c r="P49" s="353" t="s">
        <v>20</v>
      </c>
      <c r="Q49" s="387"/>
      <c r="R49" s="258">
        <f>Q47</f>
        <v>0</v>
      </c>
      <c r="S49" s="369"/>
      <c r="T49" s="248" t="s">
        <v>206</v>
      </c>
      <c r="U49" s="369"/>
      <c r="V49" s="370"/>
      <c r="X49" s="370"/>
      <c r="Z49" s="330"/>
    </row>
    <row r="50" spans="1:26" ht="17.100000000000001" customHeight="1" x14ac:dyDescent="0.25">
      <c r="A50" s="404" t="str">
        <f>U50&amp;T50</f>
        <v>0.</v>
      </c>
      <c r="B50" s="407" t="str">
        <f>Лист3!$A$158</f>
        <v>Роторный теплоутилизатор (подключение с использованием частотного преобразователя)</v>
      </c>
      <c r="C50" s="407"/>
      <c r="D50" s="407"/>
      <c r="E50" s="407"/>
      <c r="F50" s="407"/>
      <c r="G50" s="407"/>
      <c r="H50" s="407"/>
      <c r="I50" s="407"/>
      <c r="J50" s="408" t="s">
        <v>898</v>
      </c>
      <c r="K50" s="409"/>
      <c r="L50" s="409"/>
      <c r="M50" s="410"/>
      <c r="N50" s="385">
        <v>0.04</v>
      </c>
      <c r="O50" s="385"/>
      <c r="P50" s="352" t="s">
        <v>345</v>
      </c>
      <c r="Q50" s="387">
        <v>0</v>
      </c>
      <c r="R50" s="258">
        <f>Q50</f>
        <v>0</v>
      </c>
      <c r="S50" s="369">
        <f>IF(Q50=0,0,1)</f>
        <v>0</v>
      </c>
      <c r="T50" s="248" t="s">
        <v>206</v>
      </c>
      <c r="U50" s="369">
        <f>SUM(S34:S52)</f>
        <v>0</v>
      </c>
      <c r="V50" s="370">
        <f>N50*Q50</f>
        <v>0</v>
      </c>
      <c r="X50" s="390">
        <f>IF(Q50=0,0,VLOOKUP(N51,Техника!X50:Y55,2,0))</f>
        <v>0</v>
      </c>
    </row>
    <row r="51" spans="1:26" ht="17.100000000000001" customHeight="1" x14ac:dyDescent="0.25">
      <c r="A51" s="404"/>
      <c r="B51" s="407"/>
      <c r="C51" s="407"/>
      <c r="D51" s="407"/>
      <c r="E51" s="407"/>
      <c r="F51" s="407"/>
      <c r="G51" s="407"/>
      <c r="H51" s="407"/>
      <c r="I51" s="407"/>
      <c r="J51" s="408" t="s">
        <v>895</v>
      </c>
      <c r="K51" s="409"/>
      <c r="L51" s="409"/>
      <c r="M51" s="410"/>
      <c r="N51" s="393">
        <v>230</v>
      </c>
      <c r="O51" s="393"/>
      <c r="P51" s="352" t="s">
        <v>20</v>
      </c>
      <c r="Q51" s="387"/>
      <c r="R51" s="248">
        <f>Q50</f>
        <v>0</v>
      </c>
      <c r="S51" s="369"/>
      <c r="T51" s="248"/>
      <c r="U51" s="369"/>
      <c r="V51" s="370"/>
      <c r="X51" s="390"/>
    </row>
    <row r="52" spans="1:26" ht="17.100000000000001" customHeight="1" x14ac:dyDescent="0.25">
      <c r="A52" s="404"/>
      <c r="B52" s="407"/>
      <c r="C52" s="407"/>
      <c r="D52" s="407"/>
      <c r="E52" s="407"/>
      <c r="F52" s="407"/>
      <c r="G52" s="407"/>
      <c r="H52" s="407"/>
      <c r="I52" s="407"/>
      <c r="J52" s="408" t="s">
        <v>899</v>
      </c>
      <c r="K52" s="409"/>
      <c r="L52" s="409"/>
      <c r="M52" s="410"/>
      <c r="N52" s="385"/>
      <c r="O52" s="385"/>
      <c r="P52" s="352" t="s">
        <v>357</v>
      </c>
      <c r="Q52" s="387"/>
      <c r="R52" s="248">
        <f>Q50</f>
        <v>0</v>
      </c>
      <c r="S52" s="369"/>
      <c r="T52" s="248"/>
      <c r="U52" s="369"/>
      <c r="V52" s="370"/>
      <c r="X52" s="390"/>
    </row>
    <row r="53" spans="1:26" ht="17.100000000000001" customHeight="1" x14ac:dyDescent="0.25">
      <c r="A53" s="404" t="str">
        <f>U53&amp;T53</f>
        <v>0.</v>
      </c>
      <c r="B53" s="423" t="s">
        <v>848</v>
      </c>
      <c r="C53" s="423"/>
      <c r="D53" s="423"/>
      <c r="E53" s="423"/>
      <c r="F53" s="423"/>
      <c r="G53" s="423"/>
      <c r="H53" s="423"/>
      <c r="I53" s="423"/>
      <c r="J53" s="373" t="s">
        <v>836</v>
      </c>
      <c r="K53" s="373"/>
      <c r="L53" s="373"/>
      <c r="M53" s="373"/>
      <c r="N53" s="373"/>
      <c r="O53" s="373"/>
      <c r="P53" s="373"/>
      <c r="Q53" s="387">
        <v>0</v>
      </c>
      <c r="R53" s="258">
        <f>Q53</f>
        <v>0</v>
      </c>
      <c r="S53" s="369">
        <f>IF(Q53=0,0,1)</f>
        <v>0</v>
      </c>
      <c r="T53" s="248" t="s">
        <v>206</v>
      </c>
      <c r="U53" s="369">
        <f>SUM(S34:S53)</f>
        <v>0</v>
      </c>
      <c r="W53" s="370">
        <f>N54*Q53</f>
        <v>0</v>
      </c>
      <c r="Y53" s="370">
        <f>IF(Q53=0,0,VLOOKUP(N55,Техника!$X$50:$Y$55,2,0))</f>
        <v>0</v>
      </c>
    </row>
    <row r="54" spans="1:26" ht="17.100000000000001" customHeight="1" x14ac:dyDescent="0.25">
      <c r="A54" s="404"/>
      <c r="B54" s="423"/>
      <c r="C54" s="423"/>
      <c r="D54" s="423"/>
      <c r="E54" s="423"/>
      <c r="F54" s="423"/>
      <c r="G54" s="423"/>
      <c r="H54" s="423"/>
      <c r="I54" s="423"/>
      <c r="J54" s="371" t="s">
        <v>897</v>
      </c>
      <c r="K54" s="371"/>
      <c r="L54" s="371"/>
      <c r="M54" s="371"/>
      <c r="N54" s="385">
        <v>0.37</v>
      </c>
      <c r="O54" s="385"/>
      <c r="P54" s="353" t="s">
        <v>345</v>
      </c>
      <c r="Q54" s="387"/>
      <c r="R54" s="258">
        <f>Q53</f>
        <v>0</v>
      </c>
      <c r="S54" s="369"/>
      <c r="T54" s="248" t="s">
        <v>206</v>
      </c>
      <c r="U54" s="369"/>
      <c r="W54" s="370"/>
      <c r="Y54" s="370"/>
    </row>
    <row r="55" spans="1:26" ht="17.100000000000001" customHeight="1" x14ac:dyDescent="0.25">
      <c r="A55" s="404"/>
      <c r="B55" s="423"/>
      <c r="C55" s="423"/>
      <c r="D55" s="423"/>
      <c r="E55" s="423"/>
      <c r="F55" s="423"/>
      <c r="G55" s="423"/>
      <c r="H55" s="423"/>
      <c r="I55" s="423"/>
      <c r="J55" s="371" t="s">
        <v>895</v>
      </c>
      <c r="K55" s="371"/>
      <c r="L55" s="371"/>
      <c r="M55" s="371"/>
      <c r="N55" s="393">
        <v>230</v>
      </c>
      <c r="O55" s="393"/>
      <c r="P55" s="353" t="s">
        <v>20</v>
      </c>
      <c r="Q55" s="387"/>
      <c r="R55" s="258">
        <f>Q53</f>
        <v>0</v>
      </c>
      <c r="S55" s="369"/>
      <c r="T55" s="248" t="s">
        <v>206</v>
      </c>
      <c r="U55" s="369"/>
      <c r="W55" s="370"/>
      <c r="Y55" s="370"/>
    </row>
    <row r="56" spans="1:26" x14ac:dyDescent="0.25">
      <c r="A56" s="404" t="str">
        <f>U56&amp;T56</f>
        <v>0.</v>
      </c>
      <c r="B56" s="407" t="str">
        <f>Лист3!$A$159</f>
        <v>Электронагреватель приточного воздуха</v>
      </c>
      <c r="C56" s="407"/>
      <c r="D56" s="407"/>
      <c r="E56" s="407"/>
      <c r="F56" s="407"/>
      <c r="G56" s="407"/>
      <c r="H56" s="407"/>
      <c r="I56" s="407"/>
      <c r="J56" s="406" t="s">
        <v>900</v>
      </c>
      <c r="K56" s="406"/>
      <c r="L56" s="406"/>
      <c r="M56" s="406"/>
      <c r="N56" s="385">
        <v>1.1000000000000001</v>
      </c>
      <c r="O56" s="385"/>
      <c r="P56" s="364" t="s">
        <v>345</v>
      </c>
      <c r="Q56" s="387">
        <v>0</v>
      </c>
      <c r="R56" s="258">
        <f>Q56</f>
        <v>0</v>
      </c>
      <c r="S56" s="369">
        <f>IF(Q56=0,0,1)</f>
        <v>0</v>
      </c>
      <c r="T56" s="248" t="s">
        <v>206</v>
      </c>
      <c r="U56" s="369">
        <f>SUM(S34:S56)</f>
        <v>0</v>
      </c>
      <c r="V56" s="370">
        <f>N56*Q56</f>
        <v>0</v>
      </c>
      <c r="X56" s="390">
        <f>IF(Q56=0,0,VLOOKUP(N57,Техника!X50:Y55,2,0))</f>
        <v>0</v>
      </c>
    </row>
    <row r="57" spans="1:26" x14ac:dyDescent="0.25">
      <c r="A57" s="404"/>
      <c r="B57" s="407"/>
      <c r="C57" s="407"/>
      <c r="D57" s="407"/>
      <c r="E57" s="407"/>
      <c r="F57" s="407"/>
      <c r="G57" s="407"/>
      <c r="H57" s="407"/>
      <c r="I57" s="407"/>
      <c r="J57" s="406" t="s">
        <v>895</v>
      </c>
      <c r="K57" s="406"/>
      <c r="L57" s="406"/>
      <c r="M57" s="406"/>
      <c r="N57" s="393">
        <v>380</v>
      </c>
      <c r="O57" s="393"/>
      <c r="P57" s="364" t="s">
        <v>20</v>
      </c>
      <c r="Q57" s="387"/>
      <c r="R57" s="248">
        <f>Q56</f>
        <v>0</v>
      </c>
      <c r="S57" s="369"/>
      <c r="T57" s="248"/>
      <c r="U57" s="369">
        <f>SUM(S36:S57)</f>
        <v>0</v>
      </c>
      <c r="V57" s="370"/>
      <c r="X57" s="390"/>
    </row>
    <row r="58" spans="1:26" ht="16.5" customHeight="1" x14ac:dyDescent="0.25">
      <c r="A58" s="404"/>
      <c r="B58" s="448" t="s">
        <v>358</v>
      </c>
      <c r="C58" s="449"/>
      <c r="D58" s="449"/>
      <c r="E58" s="449"/>
      <c r="F58" s="449"/>
      <c r="G58" s="449"/>
      <c r="H58" s="449"/>
      <c r="I58" s="450"/>
      <c r="J58" s="392"/>
      <c r="K58" s="392"/>
      <c r="L58" s="392"/>
      <c r="M58" s="392"/>
      <c r="N58" s="392"/>
      <c r="O58" s="392"/>
      <c r="P58" s="392"/>
      <c r="Q58" s="387"/>
      <c r="R58" s="248">
        <f>Q56</f>
        <v>0</v>
      </c>
      <c r="S58" s="369"/>
      <c r="T58" s="248"/>
      <c r="U58" s="369">
        <f>SUM(S37:S58)</f>
        <v>0</v>
      </c>
      <c r="V58" s="370"/>
      <c r="X58" s="390"/>
    </row>
    <row r="59" spans="1:26" x14ac:dyDescent="0.25">
      <c r="A59" s="404" t="str">
        <f>U59&amp;T59</f>
        <v>0.</v>
      </c>
      <c r="B59" s="407" t="str">
        <f>Лист3!$A$160</f>
        <v>Двигатель приточного вентилятора</v>
      </c>
      <c r="C59" s="407"/>
      <c r="D59" s="407"/>
      <c r="E59" s="407"/>
      <c r="F59" s="407"/>
      <c r="G59" s="407"/>
      <c r="H59" s="407"/>
      <c r="I59" s="407"/>
      <c r="J59" s="386" t="s">
        <v>898</v>
      </c>
      <c r="K59" s="386"/>
      <c r="L59" s="386"/>
      <c r="M59" s="386"/>
      <c r="N59" s="384">
        <v>1.1000000000000001</v>
      </c>
      <c r="O59" s="384"/>
      <c r="P59" s="352" t="s">
        <v>345</v>
      </c>
      <c r="Q59" s="387">
        <v>0</v>
      </c>
      <c r="R59" s="258">
        <f>Q59</f>
        <v>0</v>
      </c>
      <c r="S59" s="369">
        <f>IF(Q59=0,0,1)</f>
        <v>0</v>
      </c>
      <c r="T59" s="248" t="s">
        <v>206</v>
      </c>
      <c r="U59" s="369">
        <f>SUM(S34:S59)</f>
        <v>0</v>
      </c>
      <c r="V59" s="370">
        <f>N59*Q59</f>
        <v>0</v>
      </c>
      <c r="X59" s="390">
        <f>IF(Q59=0,0,VLOOKUP(N60,Техника!$X$50:$Y$55,2,0))</f>
        <v>0</v>
      </c>
    </row>
    <row r="60" spans="1:26" ht="15.75" customHeight="1" x14ac:dyDescent="0.25">
      <c r="A60" s="404"/>
      <c r="B60" s="423" t="s">
        <v>390</v>
      </c>
      <c r="C60" s="423"/>
      <c r="D60" s="423"/>
      <c r="E60" s="423"/>
      <c r="F60" s="423"/>
      <c r="G60" s="423"/>
      <c r="H60" s="423"/>
      <c r="I60" s="423"/>
      <c r="J60" s="386" t="s">
        <v>901</v>
      </c>
      <c r="K60" s="386"/>
      <c r="L60" s="386"/>
      <c r="M60" s="386"/>
      <c r="N60" s="389">
        <v>380</v>
      </c>
      <c r="O60" s="389"/>
      <c r="P60" s="352" t="s">
        <v>20</v>
      </c>
      <c r="Q60" s="387"/>
      <c r="R60" s="248">
        <f>Q59</f>
        <v>0</v>
      </c>
      <c r="S60" s="369"/>
      <c r="T60" s="248"/>
      <c r="U60" s="369">
        <f>SUM(S41:S60)</f>
        <v>0</v>
      </c>
      <c r="V60" s="370"/>
      <c r="X60" s="390"/>
    </row>
    <row r="61" spans="1:26" ht="16.5" customHeight="1" x14ac:dyDescent="0.25">
      <c r="A61" s="404"/>
      <c r="B61" s="423"/>
      <c r="C61" s="423"/>
      <c r="D61" s="423"/>
      <c r="E61" s="423"/>
      <c r="F61" s="423"/>
      <c r="G61" s="423"/>
      <c r="H61" s="423"/>
      <c r="I61" s="423"/>
      <c r="J61" s="386" t="s">
        <v>899</v>
      </c>
      <c r="K61" s="386"/>
      <c r="L61" s="386"/>
      <c r="M61" s="386"/>
      <c r="N61" s="384">
        <v>2.6</v>
      </c>
      <c r="O61" s="384"/>
      <c r="P61" s="352" t="s">
        <v>357</v>
      </c>
      <c r="Q61" s="387"/>
      <c r="R61" s="248">
        <f>Q59</f>
        <v>0</v>
      </c>
      <c r="S61" s="369"/>
      <c r="T61" s="248"/>
      <c r="U61" s="369">
        <f>SUM(S42:S61)</f>
        <v>0</v>
      </c>
      <c r="V61" s="370"/>
      <c r="X61" s="390"/>
    </row>
    <row r="62" spans="1:26" x14ac:dyDescent="0.25">
      <c r="A62" s="404" t="str">
        <f>U62&amp;T62</f>
        <v>0.</v>
      </c>
      <c r="B62" s="407" t="str">
        <f>Лист3!$A$161</f>
        <v>Двигатель вытяжного вентилятора</v>
      </c>
      <c r="C62" s="407"/>
      <c r="D62" s="407"/>
      <c r="E62" s="407"/>
      <c r="F62" s="407"/>
      <c r="G62" s="407"/>
      <c r="H62" s="407"/>
      <c r="I62" s="407"/>
      <c r="J62" s="386" t="s">
        <v>898</v>
      </c>
      <c r="K62" s="386"/>
      <c r="L62" s="386"/>
      <c r="M62" s="386"/>
      <c r="N62" s="384">
        <v>0.21</v>
      </c>
      <c r="O62" s="384"/>
      <c r="P62" s="352" t="s">
        <v>345</v>
      </c>
      <c r="Q62" s="387">
        <v>0</v>
      </c>
      <c r="R62" s="258">
        <f>Q62</f>
        <v>0</v>
      </c>
      <c r="S62" s="369">
        <f>IF(Q62=0,0,1)</f>
        <v>0</v>
      </c>
      <c r="T62" s="248" t="s">
        <v>206</v>
      </c>
      <c r="U62" s="369">
        <f>SUM(S34:S62)</f>
        <v>0</v>
      </c>
      <c r="V62" s="370">
        <f>N62*Q62</f>
        <v>0</v>
      </c>
      <c r="X62" s="390">
        <f>IF(Q62=0,0,VLOOKUP(N63,Техника!$X$50:$Y$55,2,0))</f>
        <v>0</v>
      </c>
    </row>
    <row r="63" spans="1:26" ht="15.75" customHeight="1" x14ac:dyDescent="0.25">
      <c r="A63" s="404"/>
      <c r="B63" s="423" t="s">
        <v>360</v>
      </c>
      <c r="C63" s="423"/>
      <c r="D63" s="423"/>
      <c r="E63" s="423"/>
      <c r="F63" s="423"/>
      <c r="G63" s="423"/>
      <c r="H63" s="423"/>
      <c r="I63" s="423"/>
      <c r="J63" s="386" t="s">
        <v>901</v>
      </c>
      <c r="K63" s="386"/>
      <c r="L63" s="386"/>
      <c r="M63" s="386"/>
      <c r="N63" s="389">
        <v>230</v>
      </c>
      <c r="O63" s="389"/>
      <c r="P63" s="352" t="s">
        <v>20</v>
      </c>
      <c r="Q63" s="387"/>
      <c r="R63" s="248">
        <f>Q62</f>
        <v>0</v>
      </c>
      <c r="S63" s="369"/>
      <c r="T63" s="248"/>
      <c r="U63" s="369">
        <f>SUM(S45:S63)</f>
        <v>0</v>
      </c>
      <c r="V63" s="370"/>
      <c r="X63" s="390"/>
    </row>
    <row r="64" spans="1:26" ht="16.5" customHeight="1" x14ac:dyDescent="0.25">
      <c r="A64" s="404"/>
      <c r="B64" s="423"/>
      <c r="C64" s="423"/>
      <c r="D64" s="423"/>
      <c r="E64" s="423"/>
      <c r="F64" s="423"/>
      <c r="G64" s="423"/>
      <c r="H64" s="423"/>
      <c r="I64" s="423"/>
      <c r="J64" s="386" t="s">
        <v>899</v>
      </c>
      <c r="K64" s="386"/>
      <c r="L64" s="386"/>
      <c r="M64" s="386"/>
      <c r="N64" s="384">
        <v>0.93</v>
      </c>
      <c r="O64" s="384"/>
      <c r="P64" s="352" t="s">
        <v>357</v>
      </c>
      <c r="Q64" s="387"/>
      <c r="R64" s="248">
        <f>Q62</f>
        <v>0</v>
      </c>
      <c r="S64" s="369"/>
      <c r="T64" s="248"/>
      <c r="U64" s="369">
        <f>SUM(S46:S64)</f>
        <v>0</v>
      </c>
      <c r="V64" s="370"/>
      <c r="X64" s="390"/>
    </row>
    <row r="65" spans="1:42" s="171" customFormat="1" ht="16.5" customHeight="1" x14ac:dyDescent="0.25">
      <c r="A65" s="404" t="str">
        <f>U65&amp;T65</f>
        <v>0.</v>
      </c>
      <c r="B65" s="423" t="s">
        <v>397</v>
      </c>
      <c r="C65" s="423"/>
      <c r="D65" s="423"/>
      <c r="E65" s="423"/>
      <c r="F65" s="423"/>
      <c r="G65" s="423"/>
      <c r="H65" s="423"/>
      <c r="I65" s="423"/>
      <c r="J65" s="386" t="s">
        <v>898</v>
      </c>
      <c r="K65" s="386"/>
      <c r="L65" s="386"/>
      <c r="M65" s="386"/>
      <c r="N65" s="384">
        <v>2.2000000000000002</v>
      </c>
      <c r="O65" s="384"/>
      <c r="P65" s="352" t="s">
        <v>345</v>
      </c>
      <c r="Q65" s="387">
        <v>0</v>
      </c>
      <c r="R65" s="258">
        <f>Q65</f>
        <v>0</v>
      </c>
      <c r="S65" s="388">
        <f>IF(Q65=0,0,1)</f>
        <v>0</v>
      </c>
      <c r="T65" s="232" t="s">
        <v>206</v>
      </c>
      <c r="U65" s="388">
        <f>SUM(S34:S65)</f>
        <v>0</v>
      </c>
      <c r="V65" s="370">
        <f>IF(Q65=0,0,N65)</f>
        <v>0</v>
      </c>
      <c r="X65" s="370">
        <f>IF(Q65=0,0,VLOOKUP(N66,Техника!$X$50:$Y$55,2,0))</f>
        <v>0</v>
      </c>
      <c r="AP65" s="208"/>
    </row>
    <row r="66" spans="1:42" s="171" customFormat="1" ht="17.25" customHeight="1" x14ac:dyDescent="0.25">
      <c r="A66" s="404"/>
      <c r="B66" s="423" t="s">
        <v>394</v>
      </c>
      <c r="C66" s="423"/>
      <c r="D66" s="423"/>
      <c r="E66" s="423"/>
      <c r="F66" s="423"/>
      <c r="G66" s="423"/>
      <c r="H66" s="423"/>
      <c r="I66" s="423"/>
      <c r="J66" s="386" t="s">
        <v>901</v>
      </c>
      <c r="K66" s="386"/>
      <c r="L66" s="386"/>
      <c r="M66" s="386"/>
      <c r="N66" s="389">
        <v>380</v>
      </c>
      <c r="O66" s="389"/>
      <c r="P66" s="352" t="s">
        <v>20</v>
      </c>
      <c r="Q66" s="387"/>
      <c r="R66" s="232">
        <f>Q65</f>
        <v>0</v>
      </c>
      <c r="S66" s="388"/>
      <c r="T66" s="232"/>
      <c r="U66" s="388">
        <f>SUM(S65:S66)</f>
        <v>0</v>
      </c>
      <c r="V66" s="370"/>
      <c r="X66" s="370"/>
      <c r="AP66" s="208"/>
    </row>
    <row r="67" spans="1:42" s="171" customFormat="1" ht="17.25" customHeight="1" x14ac:dyDescent="0.25">
      <c r="A67" s="404"/>
      <c r="B67" s="423"/>
      <c r="C67" s="423"/>
      <c r="D67" s="423"/>
      <c r="E67" s="423"/>
      <c r="F67" s="423"/>
      <c r="G67" s="423"/>
      <c r="H67" s="423"/>
      <c r="I67" s="423"/>
      <c r="J67" s="386" t="s">
        <v>899</v>
      </c>
      <c r="K67" s="386"/>
      <c r="L67" s="386"/>
      <c r="M67" s="386"/>
      <c r="N67" s="384">
        <v>4.46</v>
      </c>
      <c r="O67" s="384"/>
      <c r="P67" s="352" t="s">
        <v>357</v>
      </c>
      <c r="Q67" s="387"/>
      <c r="R67" s="232">
        <f>Q65</f>
        <v>0</v>
      </c>
      <c r="S67" s="388"/>
      <c r="T67" s="232"/>
      <c r="U67" s="388">
        <f>SUM(S65:S67)</f>
        <v>0</v>
      </c>
      <c r="V67" s="370"/>
      <c r="X67" s="370"/>
      <c r="AP67" s="208"/>
    </row>
    <row r="68" spans="1:42" s="171" customFormat="1" ht="33" customHeight="1" x14ac:dyDescent="0.25">
      <c r="A68" s="363" t="str">
        <f>U68&amp;T68</f>
        <v>0.</v>
      </c>
      <c r="B68" s="411" t="s">
        <v>934</v>
      </c>
      <c r="C68" s="411"/>
      <c r="D68" s="411"/>
      <c r="E68" s="411"/>
      <c r="F68" s="411"/>
      <c r="G68" s="411"/>
      <c r="H68" s="411"/>
      <c r="I68" s="411"/>
      <c r="J68" s="393" t="s">
        <v>725</v>
      </c>
      <c r="K68" s="393"/>
      <c r="L68" s="393"/>
      <c r="M68" s="393"/>
      <c r="N68" s="393"/>
      <c r="O68" s="393"/>
      <c r="P68" s="393"/>
      <c r="Q68" s="365">
        <v>0</v>
      </c>
      <c r="R68" s="258">
        <f>Q68</f>
        <v>0</v>
      </c>
      <c r="S68" s="282">
        <f>IF(Q68=0,0,1)</f>
        <v>0</v>
      </c>
      <c r="T68" s="232" t="s">
        <v>206</v>
      </c>
      <c r="U68" s="282">
        <f>SUM(S34:S68)</f>
        <v>0</v>
      </c>
      <c r="AP68" s="208"/>
    </row>
    <row r="69" spans="1:42" s="171" customFormat="1" x14ac:dyDescent="0.25">
      <c r="A69" s="432" t="str">
        <f>U69&amp;T69</f>
        <v>0.</v>
      </c>
      <c r="B69" s="423" t="s">
        <v>398</v>
      </c>
      <c r="C69" s="423"/>
      <c r="D69" s="423"/>
      <c r="E69" s="423"/>
      <c r="F69" s="423"/>
      <c r="G69" s="423"/>
      <c r="H69" s="423"/>
      <c r="I69" s="423"/>
      <c r="J69" s="386" t="s">
        <v>898</v>
      </c>
      <c r="K69" s="386"/>
      <c r="L69" s="386"/>
      <c r="M69" s="386"/>
      <c r="N69" s="384">
        <v>5.5</v>
      </c>
      <c r="O69" s="384"/>
      <c r="P69" s="352" t="s">
        <v>345</v>
      </c>
      <c r="Q69" s="387">
        <v>0</v>
      </c>
      <c r="R69" s="258">
        <f>Q69</f>
        <v>0</v>
      </c>
      <c r="S69" s="388">
        <f>IF(Q69=0,0,1)</f>
        <v>0</v>
      </c>
      <c r="T69" s="232" t="s">
        <v>206</v>
      </c>
      <c r="U69" s="388">
        <f>SUM(S34:S69)</f>
        <v>0</v>
      </c>
      <c r="V69" s="171">
        <f>IF(Q69=0,0,N69)</f>
        <v>0</v>
      </c>
      <c r="X69" s="370">
        <f>IF(Q69=0,0,VLOOKUP(N70,Техника!$X$50:$Y$55,2,0))</f>
        <v>0</v>
      </c>
      <c r="AP69" s="208"/>
    </row>
    <row r="70" spans="1:42" s="171" customFormat="1" ht="15.75" customHeight="1" x14ac:dyDescent="0.25">
      <c r="A70" s="433"/>
      <c r="B70" s="423" t="s">
        <v>394</v>
      </c>
      <c r="C70" s="423"/>
      <c r="D70" s="423"/>
      <c r="E70" s="423"/>
      <c r="F70" s="423"/>
      <c r="G70" s="423"/>
      <c r="H70" s="423"/>
      <c r="I70" s="423"/>
      <c r="J70" s="386" t="s">
        <v>901</v>
      </c>
      <c r="K70" s="386"/>
      <c r="L70" s="386"/>
      <c r="M70" s="386"/>
      <c r="N70" s="389">
        <v>380</v>
      </c>
      <c r="O70" s="389"/>
      <c r="P70" s="352" t="s">
        <v>20</v>
      </c>
      <c r="Q70" s="387"/>
      <c r="R70" s="232">
        <f>Q69</f>
        <v>0</v>
      </c>
      <c r="S70" s="388"/>
      <c r="T70" s="232"/>
      <c r="U70" s="388">
        <f>SUM(S65:S70)</f>
        <v>0</v>
      </c>
      <c r="X70" s="370"/>
      <c r="AP70" s="208"/>
    </row>
    <row r="71" spans="1:42" s="171" customFormat="1" ht="16.5" customHeight="1" x14ac:dyDescent="0.25">
      <c r="A71" s="434"/>
      <c r="B71" s="423"/>
      <c r="C71" s="423"/>
      <c r="D71" s="423"/>
      <c r="E71" s="423"/>
      <c r="F71" s="423"/>
      <c r="G71" s="423"/>
      <c r="H71" s="423"/>
      <c r="I71" s="423"/>
      <c r="J71" s="386" t="s">
        <v>899</v>
      </c>
      <c r="K71" s="386"/>
      <c r="L71" s="386"/>
      <c r="M71" s="386"/>
      <c r="N71" s="384">
        <v>11.7</v>
      </c>
      <c r="O71" s="384"/>
      <c r="P71" s="352" t="s">
        <v>357</v>
      </c>
      <c r="Q71" s="387"/>
      <c r="R71" s="232">
        <f>Q69</f>
        <v>0</v>
      </c>
      <c r="S71" s="388"/>
      <c r="T71" s="232"/>
      <c r="U71" s="388">
        <f>SUM(S65:S71)</f>
        <v>0</v>
      </c>
      <c r="X71" s="370"/>
      <c r="AP71" s="208"/>
    </row>
    <row r="72" spans="1:42" s="171" customFormat="1" ht="33" customHeight="1" x14ac:dyDescent="0.25">
      <c r="A72" s="363" t="str">
        <f>U72&amp;T72</f>
        <v>0.</v>
      </c>
      <c r="B72" s="411" t="s">
        <v>852</v>
      </c>
      <c r="C72" s="411"/>
      <c r="D72" s="411"/>
      <c r="E72" s="411"/>
      <c r="F72" s="411"/>
      <c r="G72" s="411"/>
      <c r="H72" s="411"/>
      <c r="I72" s="411"/>
      <c r="J72" s="393" t="s">
        <v>725</v>
      </c>
      <c r="K72" s="393"/>
      <c r="L72" s="393"/>
      <c r="M72" s="393"/>
      <c r="N72" s="393"/>
      <c r="O72" s="393"/>
      <c r="P72" s="393"/>
      <c r="Q72" s="365">
        <v>0</v>
      </c>
      <c r="R72" s="258">
        <f>Q72</f>
        <v>0</v>
      </c>
      <c r="S72" s="282">
        <f>IF(Q72=0,0,1)</f>
        <v>0</v>
      </c>
      <c r="T72" s="232" t="s">
        <v>206</v>
      </c>
      <c r="U72" s="282">
        <f>SUM(S34:S72)</f>
        <v>0</v>
      </c>
      <c r="AP72" s="208"/>
    </row>
    <row r="73" spans="1:42" ht="33" customHeight="1" x14ac:dyDescent="0.25">
      <c r="A73" s="404" t="str">
        <f>U73&amp;T73</f>
        <v>0.</v>
      </c>
      <c r="B73" s="411" t="s">
        <v>853</v>
      </c>
      <c r="C73" s="411"/>
      <c r="D73" s="411"/>
      <c r="E73" s="411"/>
      <c r="F73" s="411"/>
      <c r="G73" s="411"/>
      <c r="H73" s="411"/>
      <c r="I73" s="411"/>
      <c r="J73" s="373" t="s">
        <v>725</v>
      </c>
      <c r="K73" s="373"/>
      <c r="L73" s="373"/>
      <c r="M73" s="373"/>
      <c r="N73" s="373"/>
      <c r="O73" s="373"/>
      <c r="P73" s="373"/>
      <c r="Q73" s="387">
        <v>0</v>
      </c>
      <c r="R73" s="258">
        <f>Q73</f>
        <v>0</v>
      </c>
      <c r="S73" s="388">
        <f>IF(Q73=0,0,1)</f>
        <v>0</v>
      </c>
      <c r="T73" s="232" t="s">
        <v>206</v>
      </c>
      <c r="U73" s="369">
        <f>SUM(S34:S74)</f>
        <v>0</v>
      </c>
      <c r="W73" s="171"/>
      <c r="X73" s="171"/>
    </row>
    <row r="74" spans="1:42" ht="17.100000000000001" customHeight="1" x14ac:dyDescent="0.25">
      <c r="A74" s="404"/>
      <c r="B74" s="436" t="s">
        <v>855</v>
      </c>
      <c r="C74" s="436"/>
      <c r="D74" s="436"/>
      <c r="E74" s="436"/>
      <c r="F74" s="436"/>
      <c r="G74" s="436"/>
      <c r="H74" s="436"/>
      <c r="I74" s="436"/>
      <c r="J74" s="437">
        <v>0</v>
      </c>
      <c r="K74" s="437"/>
      <c r="L74" s="437"/>
      <c r="M74" s="437"/>
      <c r="N74" s="437"/>
      <c r="O74" s="437"/>
      <c r="P74" s="353" t="s">
        <v>345</v>
      </c>
      <c r="Q74" s="387"/>
      <c r="R74" s="248">
        <f>Q73</f>
        <v>0</v>
      </c>
      <c r="S74" s="388"/>
      <c r="T74" s="248"/>
      <c r="U74" s="369"/>
      <c r="V74" s="171">
        <f>J74*Q73</f>
        <v>0</v>
      </c>
    </row>
    <row r="75" spans="1:42" s="281" customFormat="1" ht="17.100000000000001" customHeight="1" x14ac:dyDescent="0.25">
      <c r="A75" s="432" t="str">
        <f>U75&amp;T75</f>
        <v>0.</v>
      </c>
      <c r="B75" s="407" t="str">
        <f>Лист3!$A$162</f>
        <v>Жидкостный (водяной охладитель)</v>
      </c>
      <c r="C75" s="407"/>
      <c r="D75" s="407"/>
      <c r="E75" s="407"/>
      <c r="F75" s="407"/>
      <c r="G75" s="407"/>
      <c r="H75" s="407"/>
      <c r="I75" s="407"/>
      <c r="J75" s="373" t="s">
        <v>836</v>
      </c>
      <c r="K75" s="373"/>
      <c r="L75" s="373"/>
      <c r="M75" s="373"/>
      <c r="N75" s="373"/>
      <c r="O75" s="373"/>
      <c r="P75" s="373"/>
      <c r="Q75" s="387">
        <v>0</v>
      </c>
      <c r="R75" s="286">
        <f>Q75</f>
        <v>0</v>
      </c>
      <c r="S75" s="369">
        <f>IF(Q75=0,0,1)</f>
        <v>0</v>
      </c>
      <c r="T75" s="278" t="s">
        <v>206</v>
      </c>
      <c r="U75" s="369">
        <f>SUM(S34:S77)</f>
        <v>0</v>
      </c>
      <c r="V75" s="370">
        <f>N76*Q75</f>
        <v>0</v>
      </c>
      <c r="X75" s="370">
        <f>IF(Q75=0,0,VLOOKUP(N77,Техника!$X$50:$Y$55,2,0))</f>
        <v>0</v>
      </c>
      <c r="AP75" s="257"/>
    </row>
    <row r="76" spans="1:42" s="281" customFormat="1" ht="17.100000000000001" customHeight="1" x14ac:dyDescent="0.25">
      <c r="A76" s="433"/>
      <c r="B76" s="407"/>
      <c r="C76" s="407"/>
      <c r="D76" s="407"/>
      <c r="E76" s="407"/>
      <c r="F76" s="407"/>
      <c r="G76" s="407"/>
      <c r="H76" s="407"/>
      <c r="I76" s="407"/>
      <c r="J76" s="371" t="s">
        <v>897</v>
      </c>
      <c r="K76" s="371"/>
      <c r="L76" s="371"/>
      <c r="M76" s="371"/>
      <c r="N76" s="385"/>
      <c r="O76" s="385"/>
      <c r="P76" s="353" t="s">
        <v>345</v>
      </c>
      <c r="Q76" s="387"/>
      <c r="R76" s="286">
        <f>Q75</f>
        <v>0</v>
      </c>
      <c r="S76" s="369"/>
      <c r="T76" s="278"/>
      <c r="U76" s="369"/>
      <c r="V76" s="370"/>
      <c r="X76" s="370"/>
      <c r="AP76" s="257"/>
    </row>
    <row r="77" spans="1:42" s="281" customFormat="1" ht="17.100000000000001" customHeight="1" x14ac:dyDescent="0.25">
      <c r="A77" s="434"/>
      <c r="B77" s="407"/>
      <c r="C77" s="407"/>
      <c r="D77" s="407"/>
      <c r="E77" s="407"/>
      <c r="F77" s="407"/>
      <c r="G77" s="407"/>
      <c r="H77" s="407"/>
      <c r="I77" s="407"/>
      <c r="J77" s="371" t="s">
        <v>895</v>
      </c>
      <c r="K77" s="371"/>
      <c r="L77" s="371"/>
      <c r="M77" s="371"/>
      <c r="N77" s="393">
        <v>380</v>
      </c>
      <c r="O77" s="393"/>
      <c r="P77" s="353" t="s">
        <v>20</v>
      </c>
      <c r="Q77" s="387"/>
      <c r="R77" s="286">
        <f>Q75</f>
        <v>0</v>
      </c>
      <c r="S77" s="369"/>
      <c r="T77" s="278" t="s">
        <v>206</v>
      </c>
      <c r="U77" s="369"/>
      <c r="V77" s="370"/>
      <c r="X77" s="370"/>
      <c r="AP77" s="257"/>
    </row>
    <row r="78" spans="1:42" s="281" customFormat="1" x14ac:dyDescent="0.25">
      <c r="A78" s="363" t="str">
        <f>U78&amp;T78</f>
        <v>0.</v>
      </c>
      <c r="B78" s="407" t="str">
        <f>Лист3!$A$163</f>
        <v>Фреоновый охладитель</v>
      </c>
      <c r="C78" s="407"/>
      <c r="D78" s="407"/>
      <c r="E78" s="407"/>
      <c r="F78" s="407"/>
      <c r="G78" s="407"/>
      <c r="H78" s="407"/>
      <c r="I78" s="407"/>
      <c r="J78" s="373" t="s">
        <v>858</v>
      </c>
      <c r="K78" s="373"/>
      <c r="L78" s="373"/>
      <c r="M78" s="373"/>
      <c r="N78" s="373"/>
      <c r="O78" s="373"/>
      <c r="P78" s="373"/>
      <c r="Q78" s="365">
        <v>0</v>
      </c>
      <c r="R78" s="286">
        <f>Q78</f>
        <v>0</v>
      </c>
      <c r="S78" s="278">
        <f>IF(Q78=0,0,1)</f>
        <v>0</v>
      </c>
      <c r="T78" s="278" t="s">
        <v>206</v>
      </c>
      <c r="U78" s="278">
        <f>SUM(S34:S78)</f>
        <v>0</v>
      </c>
      <c r="V78" s="284"/>
      <c r="AP78" s="257"/>
    </row>
    <row r="79" spans="1:42" s="281" customFormat="1" ht="17.100000000000001" customHeight="1" x14ac:dyDescent="0.25">
      <c r="A79" s="404" t="str">
        <f>U79&amp;T79</f>
        <v>0.</v>
      </c>
      <c r="B79" s="407" t="str">
        <f>Лист3!$A$164</f>
        <v>Увлажнитель воздуха</v>
      </c>
      <c r="C79" s="407"/>
      <c r="D79" s="407"/>
      <c r="E79" s="407"/>
      <c r="F79" s="407"/>
      <c r="G79" s="407"/>
      <c r="H79" s="407"/>
      <c r="I79" s="407"/>
      <c r="J79" s="373" t="s">
        <v>861</v>
      </c>
      <c r="K79" s="373"/>
      <c r="L79" s="373"/>
      <c r="M79" s="373"/>
      <c r="N79" s="373"/>
      <c r="O79" s="373"/>
      <c r="P79" s="373"/>
      <c r="Q79" s="387">
        <v>0</v>
      </c>
      <c r="R79" s="286">
        <f>Q79</f>
        <v>0</v>
      </c>
      <c r="S79" s="369">
        <f>IF(Q79=0,0,1)</f>
        <v>0</v>
      </c>
      <c r="T79" s="278" t="s">
        <v>206</v>
      </c>
      <c r="U79" s="369">
        <f>SUM(S34:S81)</f>
        <v>0</v>
      </c>
      <c r="V79" s="370">
        <f>N80*Q79</f>
        <v>0</v>
      </c>
      <c r="W79" s="370"/>
      <c r="X79" s="370">
        <f>IF(Q79=0,0,VLOOKUP(N81,Техника!$X$50:$Y$55,2,0))</f>
        <v>0</v>
      </c>
      <c r="Y79" s="370"/>
      <c r="AP79" s="257"/>
    </row>
    <row r="80" spans="1:42" s="281" customFormat="1" ht="17.100000000000001" customHeight="1" x14ac:dyDescent="0.25">
      <c r="A80" s="404"/>
      <c r="B80" s="407"/>
      <c r="C80" s="407"/>
      <c r="D80" s="407"/>
      <c r="E80" s="407"/>
      <c r="F80" s="407"/>
      <c r="G80" s="407"/>
      <c r="H80" s="407"/>
      <c r="I80" s="407"/>
      <c r="J80" s="371" t="s">
        <v>897</v>
      </c>
      <c r="K80" s="371"/>
      <c r="L80" s="371"/>
      <c r="M80" s="371"/>
      <c r="N80" s="385">
        <v>0</v>
      </c>
      <c r="O80" s="385"/>
      <c r="P80" s="353" t="s">
        <v>345</v>
      </c>
      <c r="Q80" s="387"/>
      <c r="R80" s="286">
        <f>Q79</f>
        <v>0</v>
      </c>
      <c r="S80" s="369"/>
      <c r="T80" s="278" t="s">
        <v>206</v>
      </c>
      <c r="U80" s="369"/>
      <c r="V80" s="370"/>
      <c r="W80" s="370"/>
      <c r="X80" s="370"/>
      <c r="Y80" s="370"/>
      <c r="AP80" s="257"/>
    </row>
    <row r="81" spans="1:42" s="281" customFormat="1" ht="17.100000000000001" customHeight="1" x14ac:dyDescent="0.25">
      <c r="A81" s="404"/>
      <c r="B81" s="407"/>
      <c r="C81" s="407"/>
      <c r="D81" s="407"/>
      <c r="E81" s="407"/>
      <c r="F81" s="407"/>
      <c r="G81" s="407"/>
      <c r="H81" s="407"/>
      <c r="I81" s="407"/>
      <c r="J81" s="371" t="s">
        <v>895</v>
      </c>
      <c r="K81" s="371"/>
      <c r="L81" s="371"/>
      <c r="M81" s="371"/>
      <c r="N81" s="393">
        <v>0</v>
      </c>
      <c r="O81" s="393"/>
      <c r="P81" s="353" t="s">
        <v>20</v>
      </c>
      <c r="Q81" s="387"/>
      <c r="R81" s="286">
        <f>Q79</f>
        <v>0</v>
      </c>
      <c r="S81" s="369"/>
      <c r="T81" s="278" t="s">
        <v>206</v>
      </c>
      <c r="U81" s="369"/>
      <c r="V81" s="370"/>
      <c r="W81" s="370"/>
      <c r="X81" s="370"/>
      <c r="Y81" s="370"/>
      <c r="AP81" s="257"/>
    </row>
    <row r="82" spans="1:42" x14ac:dyDescent="0.25">
      <c r="A82" s="404" t="str">
        <f>U82&amp;T82</f>
        <v>0.</v>
      </c>
      <c r="B82" s="407" t="str">
        <f>Лист3!$A$165</f>
        <v xml:space="preserve">Электрический догреватель приточного воздуха </v>
      </c>
      <c r="C82" s="407"/>
      <c r="D82" s="407"/>
      <c r="E82" s="407"/>
      <c r="F82" s="407"/>
      <c r="G82" s="407"/>
      <c r="H82" s="407"/>
      <c r="I82" s="407"/>
      <c r="J82" s="406" t="s">
        <v>902</v>
      </c>
      <c r="K82" s="406"/>
      <c r="L82" s="406"/>
      <c r="M82" s="406"/>
      <c r="N82" s="385">
        <v>3</v>
      </c>
      <c r="O82" s="385"/>
      <c r="P82" s="364" t="s">
        <v>345</v>
      </c>
      <c r="Q82" s="387">
        <v>0</v>
      </c>
      <c r="R82" s="322">
        <f>Q82</f>
        <v>0</v>
      </c>
      <c r="S82" s="369">
        <f>IF(Q82=0,0,1)</f>
        <v>0</v>
      </c>
      <c r="T82" s="323" t="s">
        <v>206</v>
      </c>
      <c r="U82" s="369">
        <f>SUM(S34:S82)</f>
        <v>0</v>
      </c>
      <c r="V82" s="370">
        <f>N82*Q82</f>
        <v>0</v>
      </c>
      <c r="W82" s="325"/>
      <c r="X82" s="370">
        <f>IF(Q82=0,0,VLOOKUP(N83,Техника!$X$50:$Y$55,2,0))</f>
        <v>0</v>
      </c>
      <c r="Y82" s="325"/>
    </row>
    <row r="83" spans="1:42" s="306" customFormat="1" x14ac:dyDescent="0.25">
      <c r="A83" s="404"/>
      <c r="B83" s="407"/>
      <c r="C83" s="407"/>
      <c r="D83" s="407"/>
      <c r="E83" s="407"/>
      <c r="F83" s="407"/>
      <c r="G83" s="407"/>
      <c r="H83" s="407"/>
      <c r="I83" s="407"/>
      <c r="J83" s="406" t="s">
        <v>903</v>
      </c>
      <c r="K83" s="406"/>
      <c r="L83" s="406"/>
      <c r="M83" s="406"/>
      <c r="N83" s="393">
        <v>230</v>
      </c>
      <c r="O83" s="393"/>
      <c r="P83" s="364" t="s">
        <v>20</v>
      </c>
      <c r="Q83" s="387"/>
      <c r="R83" s="323">
        <f>Q82</f>
        <v>0</v>
      </c>
      <c r="S83" s="369"/>
      <c r="T83" s="323"/>
      <c r="U83" s="369">
        <f>SUM(S62:S83)</f>
        <v>0</v>
      </c>
      <c r="V83" s="370"/>
      <c r="W83" s="325"/>
      <c r="X83" s="370"/>
      <c r="Y83" s="325"/>
      <c r="AP83" s="308"/>
    </row>
    <row r="84" spans="1:42" s="325" customFormat="1" x14ac:dyDescent="0.25">
      <c r="A84" s="404"/>
      <c r="B84" s="448" t="s">
        <v>904</v>
      </c>
      <c r="C84" s="449"/>
      <c r="D84" s="449"/>
      <c r="E84" s="449"/>
      <c r="F84" s="449"/>
      <c r="G84" s="449"/>
      <c r="H84" s="449"/>
      <c r="I84" s="450"/>
      <c r="J84" s="392" t="s">
        <v>960</v>
      </c>
      <c r="K84" s="392"/>
      <c r="L84" s="392"/>
      <c r="M84" s="392"/>
      <c r="N84" s="392"/>
      <c r="O84" s="392"/>
      <c r="P84" s="392"/>
      <c r="Q84" s="387"/>
      <c r="R84" s="323">
        <f>Q82</f>
        <v>0</v>
      </c>
      <c r="S84" s="369"/>
      <c r="T84" s="323"/>
      <c r="U84" s="369">
        <f>SUM(S63:S84)</f>
        <v>0</v>
      </c>
      <c r="V84" s="370"/>
      <c r="X84" s="370"/>
      <c r="AP84" s="326"/>
    </row>
    <row r="85" spans="1:42" s="325" customFormat="1" ht="17.100000000000001" customHeight="1" x14ac:dyDescent="0.25">
      <c r="A85" s="362"/>
      <c r="B85" s="362"/>
      <c r="C85" s="362"/>
      <c r="D85" s="362"/>
      <c r="E85" s="362"/>
      <c r="F85" s="362"/>
      <c r="G85" s="362"/>
      <c r="H85" s="362"/>
      <c r="I85" s="362"/>
      <c r="J85" s="362"/>
      <c r="K85" s="362"/>
      <c r="L85" s="362"/>
      <c r="M85" s="362"/>
      <c r="N85" s="362"/>
      <c r="O85" s="362"/>
      <c r="P85" s="362"/>
      <c r="Q85" s="362"/>
      <c r="U85" s="323"/>
      <c r="V85" s="324"/>
      <c r="AP85" s="326"/>
    </row>
    <row r="86" spans="1:42" s="306" customFormat="1" ht="17.100000000000001" customHeight="1" x14ac:dyDescent="0.25">
      <c r="A86" s="362"/>
      <c r="B86" s="362"/>
      <c r="C86" s="362"/>
      <c r="D86" s="362"/>
      <c r="E86" s="362"/>
      <c r="F86" s="362"/>
      <c r="G86" s="362"/>
      <c r="H86" s="362"/>
      <c r="I86" s="362"/>
      <c r="J86" s="362"/>
      <c r="K86" s="362"/>
      <c r="L86" s="362"/>
      <c r="M86" s="362"/>
      <c r="N86" s="362"/>
      <c r="O86" s="362"/>
      <c r="P86" s="362"/>
      <c r="Q86" s="362"/>
      <c r="U86" s="307"/>
      <c r="V86" s="305"/>
      <c r="AP86" s="308"/>
    </row>
    <row r="87" spans="1:42" s="281" customFormat="1" ht="17.100000000000001" customHeight="1" x14ac:dyDescent="0.25">
      <c r="A87" s="285"/>
      <c r="B87" s="285"/>
      <c r="C87" s="285"/>
      <c r="D87" s="285"/>
      <c r="E87" s="285"/>
      <c r="F87" s="285"/>
      <c r="G87" s="336"/>
      <c r="H87" s="285"/>
      <c r="I87" s="285"/>
      <c r="J87" s="285"/>
      <c r="K87" s="285"/>
      <c r="L87" s="285"/>
      <c r="M87" s="285"/>
      <c r="N87" s="285"/>
      <c r="O87" s="285"/>
      <c r="P87" s="285"/>
      <c r="Q87" s="285"/>
      <c r="Y87" s="284"/>
      <c r="AP87" s="257"/>
    </row>
    <row r="88" spans="1:42" s="281" customFormat="1" ht="19.5" customHeight="1" x14ac:dyDescent="0.25">
      <c r="A88" s="283"/>
      <c r="B88" s="283"/>
      <c r="C88" s="283"/>
      <c r="D88" s="283"/>
      <c r="E88" s="283"/>
      <c r="F88" s="283"/>
      <c r="G88" s="335">
        <v>1</v>
      </c>
      <c r="H88" s="283"/>
      <c r="I88" s="283"/>
      <c r="J88" s="283"/>
      <c r="K88" s="283"/>
      <c r="L88" s="283"/>
      <c r="M88" s="283"/>
      <c r="N88" s="283"/>
      <c r="O88" s="283"/>
      <c r="P88" s="283"/>
      <c r="Q88" s="283"/>
      <c r="V88" s="284">
        <v>0</v>
      </c>
      <c r="W88" s="281">
        <v>0</v>
      </c>
      <c r="X88" s="281">
        <v>1</v>
      </c>
      <c r="AP88" s="257"/>
    </row>
    <row r="89" spans="1:42" s="306" customFormat="1" ht="19.5" customHeight="1" x14ac:dyDescent="0.25">
      <c r="A89" s="283"/>
      <c r="B89" s="283"/>
      <c r="C89" s="283"/>
      <c r="D89" s="283"/>
      <c r="E89" s="283"/>
      <c r="F89" s="283"/>
      <c r="G89" s="310">
        <v>1</v>
      </c>
      <c r="H89" s="283"/>
      <c r="I89" s="283"/>
      <c r="J89" s="283"/>
      <c r="K89" s="283"/>
      <c r="L89" s="283"/>
      <c r="M89" s="283"/>
      <c r="N89" s="283"/>
      <c r="O89" s="283"/>
      <c r="P89" s="283"/>
      <c r="Q89" s="283"/>
      <c r="V89" s="305"/>
      <c r="AP89" s="308"/>
    </row>
    <row r="90" spans="1:42" s="281" customFormat="1" ht="19.5" customHeight="1" x14ac:dyDescent="0.25">
      <c r="A90" s="284"/>
      <c r="B90" s="284"/>
      <c r="C90" s="284"/>
      <c r="D90" s="284"/>
      <c r="E90" s="284"/>
      <c r="F90" s="284"/>
      <c r="G90" s="284"/>
      <c r="H90" s="284"/>
      <c r="I90" s="284"/>
      <c r="J90" s="284"/>
      <c r="K90" s="284"/>
      <c r="L90" s="284"/>
      <c r="M90" s="284"/>
      <c r="N90" s="284"/>
      <c r="O90" s="284"/>
      <c r="P90" s="284"/>
      <c r="Q90" s="284"/>
      <c r="V90" s="249"/>
      <c r="W90" s="250"/>
      <c r="X90" s="250"/>
      <c r="AP90" s="257"/>
    </row>
    <row r="91" spans="1:42" s="284" customFormat="1" ht="19.5" customHeight="1" x14ac:dyDescent="0.25">
      <c r="A91" s="374" t="s">
        <v>217</v>
      </c>
      <c r="B91" s="375"/>
      <c r="C91" s="376" t="s">
        <v>811</v>
      </c>
      <c r="D91" s="377"/>
      <c r="E91" s="377"/>
      <c r="F91" s="377"/>
      <c r="G91" s="377"/>
      <c r="H91" s="377"/>
      <c r="I91" s="377"/>
      <c r="J91" s="377"/>
      <c r="K91" s="377"/>
      <c r="L91" s="377"/>
      <c r="M91" s="377"/>
      <c r="N91" s="377"/>
      <c r="O91" s="377"/>
      <c r="P91" s="377"/>
      <c r="Q91" s="378"/>
      <c r="R91" s="284">
        <f>Q92*R93</f>
        <v>5</v>
      </c>
      <c r="AP91" s="208"/>
    </row>
    <row r="92" spans="1:42" s="284" customFormat="1" ht="19.5" customHeight="1" x14ac:dyDescent="0.25">
      <c r="A92" s="374" t="s">
        <v>864</v>
      </c>
      <c r="B92" s="379"/>
      <c r="C92" s="379"/>
      <c r="D92" s="375"/>
      <c r="E92" s="380">
        <f>R91-(E93*J93+E94*J94)</f>
        <v>5</v>
      </c>
      <c r="F92" s="381"/>
      <c r="G92" s="374" t="s">
        <v>219</v>
      </c>
      <c r="H92" s="379"/>
      <c r="I92" s="375"/>
      <c r="J92" s="382">
        <v>0.7</v>
      </c>
      <c r="K92" s="383"/>
      <c r="L92" s="374" t="s">
        <v>220</v>
      </c>
      <c r="M92" s="379"/>
      <c r="N92" s="379"/>
      <c r="O92" s="379"/>
      <c r="P92" s="375"/>
      <c r="Q92" s="52">
        <v>1</v>
      </c>
      <c r="R92" s="284">
        <f>J92/0.2+1</f>
        <v>4.5</v>
      </c>
      <c r="AP92" s="208"/>
    </row>
    <row r="93" spans="1:42" s="284" customFormat="1" ht="19.5" customHeight="1" x14ac:dyDescent="0.25">
      <c r="C93" s="374" t="s">
        <v>224</v>
      </c>
      <c r="D93" s="375"/>
      <c r="E93" s="376">
        <v>6</v>
      </c>
      <c r="F93" s="378"/>
      <c r="G93" s="374" t="s">
        <v>226</v>
      </c>
      <c r="H93" s="379"/>
      <c r="I93" s="375"/>
      <c r="J93" s="452">
        <v>0</v>
      </c>
      <c r="K93" s="453"/>
      <c r="L93" s="440"/>
      <c r="M93" s="441"/>
      <c r="N93" s="441"/>
      <c r="O93" s="441"/>
      <c r="P93" s="444"/>
      <c r="Q93" s="444"/>
      <c r="R93" s="284">
        <f>ROUNDUP(R92,0)</f>
        <v>5</v>
      </c>
      <c r="AP93" s="208"/>
    </row>
    <row r="94" spans="1:42" s="284" customFormat="1" ht="19.5" customHeight="1" x14ac:dyDescent="0.25">
      <c r="C94" s="374" t="s">
        <v>225</v>
      </c>
      <c r="D94" s="375"/>
      <c r="E94" s="376">
        <v>3</v>
      </c>
      <c r="F94" s="378"/>
      <c r="G94" s="374" t="s">
        <v>226</v>
      </c>
      <c r="H94" s="379"/>
      <c r="I94" s="375"/>
      <c r="J94" s="452">
        <v>0</v>
      </c>
      <c r="K94" s="453"/>
      <c r="L94" s="442"/>
      <c r="M94" s="443"/>
      <c r="N94" s="443"/>
      <c r="O94" s="443"/>
      <c r="P94" s="445"/>
      <c r="Q94" s="445"/>
      <c r="Z94" s="208"/>
    </row>
    <row r="95" spans="1:42" s="281" customFormat="1" ht="19.5" customHeight="1" x14ac:dyDescent="0.25">
      <c r="A95" s="284"/>
      <c r="B95" s="284"/>
      <c r="C95" s="284"/>
      <c r="D95" s="284"/>
      <c r="E95" s="284"/>
      <c r="F95" s="284"/>
      <c r="G95" s="284"/>
      <c r="H95" s="284"/>
      <c r="I95" s="284"/>
      <c r="J95" s="284"/>
      <c r="K95" s="284"/>
      <c r="L95" s="284"/>
      <c r="M95" s="284"/>
      <c r="N95" s="284"/>
      <c r="O95" s="284"/>
      <c r="P95" s="284"/>
      <c r="Q95" s="284"/>
      <c r="V95" s="249"/>
      <c r="Z95" s="257"/>
    </row>
    <row r="96" spans="1:42" s="357" customFormat="1" ht="19.5" customHeight="1" x14ac:dyDescent="0.25">
      <c r="A96" s="359"/>
      <c r="B96" s="359"/>
      <c r="C96" s="359"/>
      <c r="D96" s="359"/>
      <c r="E96" s="359"/>
      <c r="F96" s="359"/>
      <c r="G96" s="359"/>
      <c r="H96" s="359"/>
      <c r="I96" s="359"/>
      <c r="J96" s="359"/>
      <c r="K96" s="359"/>
      <c r="L96" s="359"/>
      <c r="M96" s="359"/>
      <c r="N96" s="359"/>
      <c r="O96" s="359"/>
      <c r="P96" s="359"/>
      <c r="Q96" s="359"/>
      <c r="V96" s="249"/>
      <c r="Z96" s="358"/>
    </row>
    <row r="97" spans="1:42" s="294" customFormat="1" ht="39.950000000000003" customHeight="1" x14ac:dyDescent="0.3">
      <c r="A97" s="372" t="s">
        <v>961</v>
      </c>
      <c r="B97" s="372"/>
      <c r="C97" s="372"/>
      <c r="D97" s="372"/>
      <c r="E97" s="372"/>
      <c r="F97" s="372"/>
      <c r="G97" s="372"/>
      <c r="H97" s="372"/>
      <c r="I97" s="372"/>
      <c r="J97" s="372"/>
      <c r="K97" s="372"/>
      <c r="L97" s="372"/>
      <c r="M97" s="372"/>
      <c r="N97" s="372"/>
      <c r="O97" s="372"/>
      <c r="P97" s="372"/>
      <c r="Q97" s="372"/>
      <c r="W97" s="298"/>
      <c r="X97" s="298"/>
      <c r="Y97" s="298"/>
      <c r="Z97" s="299"/>
      <c r="AA97" s="295"/>
      <c r="AB97" s="296"/>
      <c r="AD97" s="295"/>
      <c r="AE97" s="296"/>
    </row>
    <row r="98" spans="1:42" s="281" customFormat="1" ht="19.5" customHeight="1" x14ac:dyDescent="0.25">
      <c r="A98" s="280" t="s">
        <v>261</v>
      </c>
      <c r="B98" s="366" t="s">
        <v>72</v>
      </c>
      <c r="C98" s="367"/>
      <c r="D98" s="367"/>
      <c r="E98" s="367"/>
      <c r="F98" s="367"/>
      <c r="G98" s="367"/>
      <c r="H98" s="367"/>
      <c r="I98" s="368"/>
      <c r="J98" s="366" t="s">
        <v>262</v>
      </c>
      <c r="K98" s="367"/>
      <c r="L98" s="367"/>
      <c r="M98" s="367"/>
      <c r="N98" s="367"/>
      <c r="O98" s="367"/>
      <c r="P98" s="368"/>
      <c r="Q98" s="280" t="s">
        <v>263</v>
      </c>
      <c r="R98" s="284">
        <v>0</v>
      </c>
      <c r="S98" s="281">
        <v>1</v>
      </c>
      <c r="T98" s="293">
        <v>0</v>
      </c>
      <c r="V98" s="242"/>
      <c r="W98" s="238"/>
      <c r="X98" s="234"/>
    </row>
    <row r="99" spans="1:42" s="357" customFormat="1" ht="19.5" customHeight="1" x14ac:dyDescent="0.25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359"/>
      <c r="T99" s="293"/>
      <c r="V99" s="242"/>
      <c r="W99" s="238"/>
      <c r="X99" s="234"/>
    </row>
    <row r="100" spans="1:42" s="208" customFormat="1" ht="19.5" customHeight="1" x14ac:dyDescent="0.25">
      <c r="A100" s="152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W100" s="234"/>
      <c r="X100" s="241"/>
    </row>
    <row r="101" spans="1:42" s="257" customFormat="1" ht="39.950000000000003" customHeight="1" x14ac:dyDescent="0.25">
      <c r="A101" s="439" t="s">
        <v>872</v>
      </c>
      <c r="B101" s="439"/>
      <c r="C101" s="439"/>
      <c r="D101" s="439"/>
      <c r="E101" s="439"/>
      <c r="F101" s="439"/>
      <c r="G101" s="439"/>
      <c r="H101" s="439"/>
      <c r="I101" s="439"/>
      <c r="J101" s="439"/>
      <c r="K101" s="439"/>
      <c r="L101" s="439"/>
      <c r="M101" s="439"/>
      <c r="N101" s="439"/>
      <c r="O101" s="439"/>
      <c r="P101" s="439"/>
      <c r="Q101" s="439"/>
      <c r="R101" s="208"/>
      <c r="V101" s="244"/>
      <c r="W101" s="241"/>
      <c r="X101" s="241"/>
    </row>
    <row r="102" spans="1:42" s="257" customFormat="1" ht="19.5" customHeight="1" x14ac:dyDescent="0.25">
      <c r="A102" s="279" t="s">
        <v>261</v>
      </c>
      <c r="B102" s="454" t="s">
        <v>72</v>
      </c>
      <c r="C102" s="455"/>
      <c r="D102" s="455"/>
      <c r="E102" s="455"/>
      <c r="F102" s="455"/>
      <c r="G102" s="455"/>
      <c r="H102" s="455"/>
      <c r="I102" s="456"/>
      <c r="J102" s="454" t="s">
        <v>262</v>
      </c>
      <c r="K102" s="455"/>
      <c r="L102" s="455"/>
      <c r="M102" s="455"/>
      <c r="N102" s="455"/>
      <c r="O102" s="455"/>
      <c r="P102" s="456"/>
      <c r="Q102" s="279" t="s">
        <v>263</v>
      </c>
      <c r="R102" s="208">
        <v>0</v>
      </c>
      <c r="V102" s="244"/>
      <c r="W102" s="241"/>
      <c r="X102" s="241"/>
    </row>
    <row r="103" spans="1:42" s="358" customFormat="1" ht="19.5" customHeight="1" x14ac:dyDescent="0.25">
      <c r="A103" s="361"/>
      <c r="B103" s="361"/>
      <c r="C103" s="361"/>
      <c r="D103" s="361"/>
      <c r="E103" s="361"/>
      <c r="F103" s="361"/>
      <c r="G103" s="361"/>
      <c r="H103" s="361"/>
      <c r="I103" s="361"/>
      <c r="J103" s="361"/>
      <c r="K103" s="361"/>
      <c r="L103" s="361"/>
      <c r="M103" s="361"/>
      <c r="N103" s="361"/>
      <c r="O103" s="361"/>
      <c r="P103" s="361"/>
      <c r="Q103" s="361"/>
      <c r="R103" s="208"/>
      <c r="V103" s="244"/>
      <c r="W103" s="241"/>
      <c r="X103" s="241"/>
    </row>
    <row r="104" spans="1:42" s="312" customFormat="1" ht="19.5" customHeight="1" x14ac:dyDescent="0.25">
      <c r="R104" s="311"/>
      <c r="V104" s="311"/>
      <c r="AP104" s="313"/>
    </row>
    <row r="105" spans="1:42" s="249" customFormat="1" ht="20.100000000000001" customHeight="1" x14ac:dyDescent="0.25">
      <c r="A105" s="429" t="s">
        <v>873</v>
      </c>
      <c r="B105" s="429"/>
      <c r="C105" s="429"/>
      <c r="D105" s="429"/>
      <c r="E105" s="429"/>
      <c r="F105" s="429"/>
      <c r="G105" s="429"/>
      <c r="H105" s="429"/>
      <c r="I105" s="429"/>
      <c r="J105" s="429"/>
      <c r="K105" s="429"/>
      <c r="L105" s="429"/>
      <c r="M105" s="429"/>
      <c r="N105" s="429"/>
      <c r="O105" s="429"/>
      <c r="P105" s="429"/>
      <c r="Q105" s="429"/>
      <c r="R105" s="249">
        <v>0</v>
      </c>
      <c r="AP105" s="333"/>
    </row>
    <row r="106" spans="1:42" s="281" customFormat="1" ht="156.75" customHeight="1" x14ac:dyDescent="0.25">
      <c r="A106" s="426" t="s">
        <v>981</v>
      </c>
      <c r="B106" s="426"/>
      <c r="C106" s="426"/>
      <c r="D106" s="426"/>
      <c r="E106" s="426"/>
      <c r="F106" s="426"/>
      <c r="G106" s="426"/>
      <c r="H106" s="426"/>
      <c r="I106" s="426"/>
      <c r="J106" s="426"/>
      <c r="K106" s="426"/>
      <c r="L106" s="426"/>
      <c r="M106" s="426"/>
      <c r="N106" s="426"/>
      <c r="O106" s="426"/>
      <c r="P106" s="426"/>
      <c r="Q106" s="426"/>
      <c r="V106" s="284"/>
      <c r="AP106" s="257"/>
    </row>
    <row r="107" spans="1:42" s="281" customFormat="1" ht="99" customHeight="1" x14ac:dyDescent="0.25">
      <c r="A107" s="426" t="s">
        <v>979</v>
      </c>
      <c r="B107" s="426"/>
      <c r="C107" s="426"/>
      <c r="D107" s="426"/>
      <c r="E107" s="426"/>
      <c r="F107" s="426"/>
      <c r="G107" s="426"/>
      <c r="H107" s="426"/>
      <c r="I107" s="426"/>
      <c r="J107" s="426"/>
      <c r="K107" s="426"/>
      <c r="L107" s="426"/>
      <c r="M107" s="426"/>
      <c r="N107" s="426"/>
      <c r="O107" s="426"/>
      <c r="P107" s="426"/>
      <c r="Q107" s="426"/>
      <c r="V107" s="284"/>
      <c r="AP107" s="257"/>
    </row>
    <row r="108" spans="1:42" s="281" customFormat="1" ht="84" customHeight="1" x14ac:dyDescent="0.25">
      <c r="A108" s="426" t="s">
        <v>976</v>
      </c>
      <c r="B108" s="426"/>
      <c r="C108" s="426"/>
      <c r="D108" s="426"/>
      <c r="E108" s="426"/>
      <c r="F108" s="426"/>
      <c r="G108" s="426"/>
      <c r="H108" s="426"/>
      <c r="I108" s="426"/>
      <c r="J108" s="426"/>
      <c r="K108" s="426"/>
      <c r="L108" s="426"/>
      <c r="M108" s="426"/>
      <c r="N108" s="426"/>
      <c r="O108" s="426"/>
      <c r="P108" s="426"/>
      <c r="Q108" s="426"/>
      <c r="V108" s="284"/>
      <c r="AP108" s="257"/>
    </row>
    <row r="109" spans="1:42" s="281" customFormat="1" ht="77.25" customHeight="1" x14ac:dyDescent="0.25">
      <c r="A109" s="426" t="s">
        <v>974</v>
      </c>
      <c r="B109" s="426"/>
      <c r="C109" s="426"/>
      <c r="D109" s="426"/>
      <c r="E109" s="426"/>
      <c r="F109" s="426"/>
      <c r="G109" s="426"/>
      <c r="H109" s="426"/>
      <c r="I109" s="426"/>
      <c r="J109" s="426"/>
      <c r="K109" s="426"/>
      <c r="L109" s="426"/>
      <c r="M109" s="426"/>
      <c r="N109" s="426"/>
      <c r="O109" s="426"/>
      <c r="P109" s="426"/>
      <c r="Q109" s="426"/>
      <c r="V109" s="284"/>
      <c r="AP109" s="257"/>
    </row>
    <row r="110" spans="1:42" s="325" customFormat="1" ht="18.75" customHeight="1" x14ac:dyDescent="0.25">
      <c r="A110" s="426"/>
      <c r="B110" s="426"/>
      <c r="C110" s="426"/>
      <c r="D110" s="426"/>
      <c r="E110" s="426"/>
      <c r="F110" s="426"/>
      <c r="G110" s="426"/>
      <c r="H110" s="426"/>
      <c r="I110" s="426"/>
      <c r="J110" s="426"/>
      <c r="K110" s="426"/>
      <c r="L110" s="426"/>
      <c r="M110" s="426"/>
      <c r="N110" s="426"/>
      <c r="O110" s="426"/>
      <c r="P110" s="426"/>
      <c r="Q110" s="426"/>
      <c r="V110" s="324"/>
      <c r="AP110" s="326"/>
    </row>
    <row r="111" spans="1:42" s="325" customFormat="1" ht="18.75" customHeight="1" x14ac:dyDescent="0.25">
      <c r="A111" s="426"/>
      <c r="B111" s="426"/>
      <c r="C111" s="426"/>
      <c r="D111" s="426"/>
      <c r="E111" s="426"/>
      <c r="F111" s="426"/>
      <c r="G111" s="426"/>
      <c r="H111" s="426"/>
      <c r="I111" s="426"/>
      <c r="J111" s="426"/>
      <c r="K111" s="426"/>
      <c r="L111" s="426"/>
      <c r="M111" s="426"/>
      <c r="N111" s="426"/>
      <c r="O111" s="426"/>
      <c r="P111" s="426"/>
      <c r="Q111" s="426"/>
      <c r="V111" s="324"/>
      <c r="AP111" s="326"/>
    </row>
    <row r="112" spans="1:42" s="325" customFormat="1" ht="18.75" customHeight="1" x14ac:dyDescent="0.25">
      <c r="A112" s="426"/>
      <c r="B112" s="426"/>
      <c r="C112" s="426"/>
      <c r="D112" s="426"/>
      <c r="E112" s="426"/>
      <c r="F112" s="426"/>
      <c r="G112" s="426"/>
      <c r="H112" s="426"/>
      <c r="I112" s="426"/>
      <c r="J112" s="426"/>
      <c r="K112" s="426"/>
      <c r="L112" s="426"/>
      <c r="M112" s="426"/>
      <c r="N112" s="426"/>
      <c r="O112" s="426"/>
      <c r="P112" s="426"/>
      <c r="Q112" s="426"/>
      <c r="V112" s="324"/>
      <c r="AP112" s="326"/>
    </row>
    <row r="113" spans="1:42" s="325" customFormat="1" ht="18.75" customHeight="1" x14ac:dyDescent="0.25">
      <c r="A113" s="426"/>
      <c r="B113" s="426"/>
      <c r="C113" s="426"/>
      <c r="D113" s="426"/>
      <c r="E113" s="426"/>
      <c r="F113" s="426"/>
      <c r="G113" s="426"/>
      <c r="H113" s="426"/>
      <c r="I113" s="426"/>
      <c r="J113" s="426"/>
      <c r="K113" s="426"/>
      <c r="L113" s="426"/>
      <c r="M113" s="426"/>
      <c r="N113" s="426"/>
      <c r="O113" s="426"/>
      <c r="P113" s="426"/>
      <c r="Q113" s="426"/>
      <c r="V113" s="324"/>
      <c r="AP113" s="326"/>
    </row>
    <row r="114" spans="1:42" s="325" customFormat="1" ht="18.75" customHeight="1" x14ac:dyDescent="0.25">
      <c r="A114" s="426"/>
      <c r="B114" s="426"/>
      <c r="C114" s="426"/>
      <c r="D114" s="426"/>
      <c r="E114" s="426"/>
      <c r="F114" s="426"/>
      <c r="G114" s="426"/>
      <c r="H114" s="426"/>
      <c r="I114" s="426"/>
      <c r="J114" s="426"/>
      <c r="K114" s="426"/>
      <c r="L114" s="426"/>
      <c r="M114" s="426"/>
      <c r="N114" s="426"/>
      <c r="O114" s="426"/>
      <c r="P114" s="426"/>
      <c r="Q114" s="426"/>
      <c r="V114" s="324"/>
      <c r="AP114" s="326"/>
    </row>
    <row r="115" spans="1:42" s="325" customFormat="1" ht="18.75" customHeight="1" x14ac:dyDescent="0.25">
      <c r="A115" s="426"/>
      <c r="B115" s="426"/>
      <c r="C115" s="426"/>
      <c r="D115" s="426"/>
      <c r="E115" s="426"/>
      <c r="F115" s="426"/>
      <c r="G115" s="426"/>
      <c r="H115" s="426"/>
      <c r="I115" s="426"/>
      <c r="J115" s="426"/>
      <c r="K115" s="426"/>
      <c r="L115" s="426"/>
      <c r="M115" s="426"/>
      <c r="N115" s="426"/>
      <c r="O115" s="426"/>
      <c r="P115" s="426"/>
      <c r="Q115" s="426"/>
      <c r="V115" s="324"/>
      <c r="AP115" s="326"/>
    </row>
    <row r="116" spans="1:42" s="281" customFormat="1" ht="19.5" customHeight="1" x14ac:dyDescent="0.25">
      <c r="A116" s="332"/>
      <c r="B116" s="332"/>
      <c r="C116" s="332"/>
      <c r="D116" s="332"/>
      <c r="E116" s="332"/>
      <c r="F116" s="332"/>
      <c r="G116" s="332"/>
      <c r="H116" s="332"/>
      <c r="I116" s="332"/>
      <c r="J116" s="332"/>
      <c r="K116" s="332"/>
      <c r="L116" s="332"/>
      <c r="M116" s="332"/>
      <c r="N116" s="332"/>
      <c r="O116" s="332"/>
      <c r="P116" s="332"/>
      <c r="Q116" s="332"/>
      <c r="V116" s="284"/>
      <c r="AP116" s="257"/>
    </row>
    <row r="117" spans="1:42" s="281" customFormat="1" ht="20.100000000000001" customHeight="1" x14ac:dyDescent="0.25">
      <c r="A117" s="429" t="s">
        <v>874</v>
      </c>
      <c r="B117" s="429"/>
      <c r="C117" s="429"/>
      <c r="D117" s="429"/>
      <c r="E117" s="429"/>
      <c r="F117" s="429"/>
      <c r="G117" s="429"/>
      <c r="H117" s="429"/>
      <c r="I117" s="429"/>
      <c r="J117" s="429"/>
      <c r="K117" s="429"/>
      <c r="L117" s="429"/>
      <c r="M117" s="429"/>
      <c r="N117" s="429"/>
      <c r="O117" s="429"/>
      <c r="P117" s="429"/>
      <c r="Q117" s="429"/>
      <c r="V117" s="284"/>
      <c r="AP117" s="257"/>
    </row>
    <row r="118" spans="1:42" s="281" customFormat="1" ht="20.100000000000001" customHeight="1" x14ac:dyDescent="0.25">
      <c r="A118" s="438" t="s">
        <v>875</v>
      </c>
      <c r="B118" s="438"/>
      <c r="C118" s="438"/>
      <c r="D118" s="438"/>
      <c r="E118" s="438"/>
      <c r="F118" s="438"/>
      <c r="G118" s="438"/>
      <c r="H118" s="438"/>
      <c r="I118" s="438"/>
      <c r="J118" s="438"/>
      <c r="K118" s="438"/>
      <c r="L118" s="438"/>
      <c r="M118" s="438"/>
      <c r="N118" s="438"/>
      <c r="O118" s="438"/>
      <c r="P118" s="438"/>
      <c r="Q118" s="438"/>
      <c r="V118" s="284"/>
      <c r="AP118" s="257"/>
    </row>
    <row r="119" spans="1:42" s="281" customFormat="1" ht="17.100000000000001" customHeight="1" x14ac:dyDescent="0.25">
      <c r="A119" s="451" t="s">
        <v>364</v>
      </c>
      <c r="B119" s="451"/>
      <c r="C119" s="451"/>
      <c r="D119" s="451"/>
      <c r="E119" s="451"/>
      <c r="F119" s="451"/>
      <c r="G119" s="451"/>
      <c r="H119" s="451"/>
      <c r="I119" s="451"/>
      <c r="J119" s="451"/>
      <c r="K119" s="451"/>
      <c r="L119" s="451"/>
      <c r="M119" s="451"/>
      <c r="N119" s="451"/>
      <c r="O119" s="451"/>
      <c r="P119" s="451"/>
      <c r="Q119" s="451"/>
      <c r="V119" s="284"/>
      <c r="AP119" s="257"/>
    </row>
    <row r="120" spans="1:42" s="235" customFormat="1" ht="52.5" customHeight="1" x14ac:dyDescent="0.25">
      <c r="A120" s="426" t="s">
        <v>980</v>
      </c>
      <c r="B120" s="451"/>
      <c r="C120" s="451"/>
      <c r="D120" s="451"/>
      <c r="E120" s="451"/>
      <c r="F120" s="451"/>
      <c r="G120" s="451"/>
      <c r="H120" s="451"/>
      <c r="I120" s="451"/>
      <c r="J120" s="451"/>
      <c r="K120" s="451"/>
      <c r="L120" s="451"/>
      <c r="M120" s="451"/>
      <c r="N120" s="451"/>
      <c r="O120" s="451"/>
      <c r="P120" s="451"/>
      <c r="Q120" s="451"/>
      <c r="R120" s="281"/>
      <c r="S120" s="281"/>
      <c r="T120" s="281"/>
      <c r="U120" s="281"/>
      <c r="V120" s="284"/>
      <c r="W120" s="281"/>
      <c r="X120" s="281"/>
      <c r="AP120" s="252"/>
    </row>
    <row r="121" spans="1:42" s="281" customFormat="1" ht="17.100000000000001" customHeight="1" x14ac:dyDescent="0.25">
      <c r="A121" s="451"/>
      <c r="B121" s="451"/>
      <c r="C121" s="451"/>
      <c r="D121" s="451"/>
      <c r="E121" s="451"/>
      <c r="F121" s="451"/>
      <c r="G121" s="451"/>
      <c r="H121" s="451"/>
      <c r="I121" s="451"/>
      <c r="J121" s="451"/>
      <c r="K121" s="451"/>
      <c r="L121" s="451"/>
      <c r="M121" s="451"/>
      <c r="N121" s="451"/>
      <c r="O121" s="451"/>
      <c r="P121" s="451"/>
      <c r="Q121" s="451"/>
      <c r="R121" s="235"/>
      <c r="S121" s="235"/>
      <c r="T121" s="235"/>
      <c r="U121" s="235"/>
      <c r="V121" s="251"/>
      <c r="W121" s="235"/>
      <c r="X121" s="235"/>
      <c r="AP121" s="257"/>
    </row>
    <row r="122" spans="1:42" s="281" customFormat="1" ht="20.100000000000001" customHeight="1" x14ac:dyDescent="0.25">
      <c r="A122" s="438" t="s">
        <v>876</v>
      </c>
      <c r="B122" s="438"/>
      <c r="C122" s="438"/>
      <c r="D122" s="438"/>
      <c r="E122" s="438"/>
      <c r="F122" s="438"/>
      <c r="G122" s="438"/>
      <c r="H122" s="438"/>
      <c r="I122" s="438"/>
      <c r="J122" s="438"/>
      <c r="K122" s="438"/>
      <c r="L122" s="438"/>
      <c r="M122" s="438"/>
      <c r="N122" s="438"/>
      <c r="O122" s="438"/>
      <c r="P122" s="438"/>
      <c r="Q122" s="438"/>
      <c r="V122" s="284"/>
      <c r="AP122" s="257"/>
    </row>
    <row r="123" spans="1:42" s="281" customFormat="1" ht="33.75" customHeight="1" x14ac:dyDescent="0.25">
      <c r="A123" s="426" t="s">
        <v>982</v>
      </c>
      <c r="B123" s="426"/>
      <c r="C123" s="426"/>
      <c r="D123" s="426"/>
      <c r="E123" s="426"/>
      <c r="F123" s="426"/>
      <c r="G123" s="426"/>
      <c r="H123" s="426"/>
      <c r="I123" s="426"/>
      <c r="J123" s="426"/>
      <c r="K123" s="426"/>
      <c r="L123" s="426"/>
      <c r="M123" s="426"/>
      <c r="N123" s="426"/>
      <c r="O123" s="426"/>
      <c r="P123" s="426"/>
      <c r="Q123" s="426"/>
      <c r="V123" s="284"/>
      <c r="AP123" s="257"/>
    </row>
    <row r="124" spans="1:42" s="281" customFormat="1" ht="17.100000000000001" customHeight="1" x14ac:dyDescent="0.25">
      <c r="A124" s="430"/>
      <c r="B124" s="430"/>
      <c r="C124" s="430"/>
      <c r="D124" s="430"/>
      <c r="E124" s="430"/>
      <c r="F124" s="430"/>
      <c r="G124" s="430"/>
      <c r="H124" s="430"/>
      <c r="I124" s="430"/>
      <c r="J124" s="430"/>
      <c r="K124" s="430"/>
      <c r="L124" s="430"/>
      <c r="M124" s="430"/>
      <c r="N124" s="430"/>
      <c r="O124" s="430"/>
      <c r="P124" s="430"/>
      <c r="Q124" s="430"/>
      <c r="V124" s="284"/>
      <c r="Y124" s="249"/>
      <c r="Z124" s="249"/>
      <c r="AA124" s="249"/>
      <c r="AB124" s="249"/>
      <c r="AC124" s="249"/>
      <c r="AD124" s="249"/>
      <c r="AP124" s="257"/>
    </row>
    <row r="125" spans="1:42" s="281" customFormat="1" ht="19.5" customHeight="1" x14ac:dyDescent="0.25">
      <c r="A125" s="427" t="s">
        <v>877</v>
      </c>
      <c r="B125" s="427"/>
      <c r="C125" s="427"/>
      <c r="D125" s="427"/>
      <c r="E125" s="427"/>
      <c r="F125" s="427"/>
      <c r="G125" s="427"/>
      <c r="H125" s="427"/>
      <c r="I125" s="427"/>
      <c r="J125" s="427"/>
      <c r="K125" s="427"/>
      <c r="L125" s="427"/>
      <c r="M125" s="427"/>
      <c r="N125" s="427"/>
      <c r="O125" s="427"/>
      <c r="P125" s="427"/>
      <c r="Q125" s="427"/>
      <c r="S125" s="249"/>
      <c r="T125" s="249"/>
      <c r="U125" s="249"/>
      <c r="V125" s="249">
        <f>SUM(V118:V124)</f>
        <v>0</v>
      </c>
      <c r="W125" s="249"/>
      <c r="X125" s="249"/>
      <c r="Y125" s="249"/>
      <c r="Z125" s="249"/>
      <c r="AA125" s="249"/>
      <c r="AB125" s="249"/>
      <c r="AC125" s="249"/>
      <c r="AD125" s="249"/>
      <c r="AP125" s="257"/>
    </row>
    <row r="126" spans="1:42" s="281" customFormat="1" ht="21.75" customHeight="1" x14ac:dyDescent="0.25">
      <c r="A126" s="428" t="s">
        <v>880</v>
      </c>
      <c r="B126" s="428"/>
      <c r="C126" s="428"/>
      <c r="D126" s="428"/>
      <c r="E126" s="428"/>
      <c r="F126" s="428"/>
      <c r="G126" s="428"/>
      <c r="H126" s="428"/>
      <c r="I126" s="428"/>
      <c r="J126" s="428"/>
      <c r="K126" s="428"/>
      <c r="L126" s="428"/>
      <c r="M126" s="428"/>
      <c r="N126" s="428"/>
      <c r="O126" s="428"/>
      <c r="P126" s="428"/>
      <c r="Q126" s="428"/>
      <c r="S126" s="249"/>
      <c r="T126" s="249"/>
      <c r="U126" s="249"/>
      <c r="V126" s="249"/>
      <c r="W126" s="249"/>
    </row>
    <row r="127" spans="1:42" s="281" customFormat="1" x14ac:dyDescent="0.25">
      <c r="A127" s="152"/>
      <c r="B127" s="277"/>
      <c r="C127" s="277"/>
      <c r="D127" s="277"/>
      <c r="E127" s="277"/>
      <c r="F127" s="277"/>
      <c r="G127" s="277"/>
      <c r="H127" s="277"/>
      <c r="I127" s="277"/>
      <c r="J127" s="277"/>
      <c r="K127" s="277"/>
      <c r="L127" s="277"/>
      <c r="M127" s="277"/>
      <c r="N127" s="277"/>
      <c r="O127" s="277"/>
      <c r="P127" s="277"/>
      <c r="Q127" s="277"/>
      <c r="V127" s="284"/>
      <c r="AP127" s="257"/>
    </row>
    <row r="128" spans="1:42" s="171" customFormat="1" ht="17.100000000000001" customHeight="1" x14ac:dyDescent="0.25">
      <c r="A128" s="431" t="s">
        <v>890</v>
      </c>
      <c r="B128" s="435"/>
      <c r="C128" s="435"/>
      <c r="D128" s="435"/>
      <c r="E128" s="435"/>
      <c r="F128" s="435"/>
      <c r="G128" s="435"/>
      <c r="H128" s="435"/>
      <c r="I128" s="435"/>
      <c r="J128" s="435"/>
      <c r="K128" s="435"/>
      <c r="L128" s="435"/>
      <c r="M128" s="435"/>
      <c r="N128" s="435"/>
      <c r="O128" s="435"/>
      <c r="P128" s="435"/>
      <c r="Q128" s="435"/>
      <c r="R128" s="231"/>
      <c r="S128" s="231"/>
      <c r="T128" s="231"/>
      <c r="U128" s="231"/>
      <c r="W128" s="231"/>
      <c r="X128" s="231"/>
      <c r="AP128" s="208"/>
    </row>
    <row r="129" spans="1:42" s="251" customFormat="1" ht="17.100000000000001" customHeight="1" x14ac:dyDescent="0.25">
      <c r="A129" s="431" t="s">
        <v>891</v>
      </c>
      <c r="B129" s="431"/>
      <c r="C129" s="431"/>
      <c r="D129" s="431"/>
      <c r="E129" s="431"/>
      <c r="F129" s="431"/>
      <c r="G129" s="431"/>
      <c r="H129" s="431"/>
      <c r="I129" s="431"/>
      <c r="J129" s="431"/>
      <c r="K129" s="431"/>
      <c r="L129" s="431"/>
      <c r="M129" s="431"/>
      <c r="N129" s="431"/>
      <c r="O129" s="431"/>
      <c r="P129" s="431"/>
      <c r="Q129" s="431"/>
      <c r="R129" s="235"/>
      <c r="S129" s="235"/>
      <c r="T129" s="235"/>
      <c r="U129" s="235"/>
      <c r="W129" s="235"/>
      <c r="X129" s="235"/>
      <c r="AP129" s="334"/>
    </row>
    <row r="130" spans="1:42" s="251" customFormat="1" ht="17.100000000000001" customHeight="1" x14ac:dyDescent="0.25">
      <c r="A130" s="431" t="s">
        <v>892</v>
      </c>
      <c r="B130" s="431"/>
      <c r="C130" s="431"/>
      <c r="D130" s="431"/>
      <c r="E130" s="431"/>
      <c r="F130" s="431"/>
      <c r="G130" s="431"/>
      <c r="H130" s="431"/>
      <c r="I130" s="431"/>
      <c r="J130" s="431"/>
      <c r="K130" s="431"/>
      <c r="L130" s="431"/>
      <c r="M130" s="431"/>
      <c r="N130" s="431"/>
      <c r="O130" s="431"/>
      <c r="P130" s="431"/>
      <c r="Q130" s="431"/>
      <c r="R130" s="235"/>
      <c r="S130" s="235"/>
      <c r="T130" s="235"/>
      <c r="U130" s="235"/>
      <c r="W130" s="235"/>
      <c r="X130" s="235"/>
      <c r="AP130" s="334"/>
    </row>
    <row r="131" spans="1:42" s="251" customFormat="1" ht="17.100000000000001" customHeight="1" x14ac:dyDescent="0.25">
      <c r="A131" s="431" t="s">
        <v>931</v>
      </c>
      <c r="B131" s="431"/>
      <c r="C131" s="431"/>
      <c r="D131" s="431"/>
      <c r="E131" s="431"/>
      <c r="F131" s="431"/>
      <c r="G131" s="431"/>
      <c r="H131" s="431"/>
      <c r="I131" s="431"/>
      <c r="J131" s="431"/>
      <c r="K131" s="431"/>
      <c r="L131" s="431"/>
      <c r="M131" s="431"/>
      <c r="N131" s="431"/>
      <c r="O131" s="431"/>
      <c r="P131" s="431"/>
      <c r="Q131" s="431"/>
      <c r="R131" s="235"/>
      <c r="S131" s="235"/>
      <c r="T131" s="235"/>
      <c r="U131" s="235"/>
      <c r="W131" s="235"/>
      <c r="X131" s="235"/>
      <c r="AP131" s="334"/>
    </row>
    <row r="132" spans="1:42" x14ac:dyDescent="0.25">
      <c r="R132" s="171"/>
      <c r="S132" s="171"/>
      <c r="T132" s="171"/>
      <c r="U132" s="171"/>
      <c r="W132" s="171"/>
      <c r="X132" s="171"/>
    </row>
    <row r="133" spans="1:42" ht="37.5" customHeight="1" x14ac:dyDescent="0.25">
      <c r="A133" s="236"/>
      <c r="B133" s="236"/>
      <c r="C133" s="236"/>
      <c r="D133" s="236"/>
      <c r="E133" s="236"/>
      <c r="F133" s="236"/>
      <c r="G133" s="236"/>
      <c r="H133" s="236"/>
      <c r="I133" s="236"/>
      <c r="J133" s="236"/>
      <c r="K133" s="236"/>
      <c r="L133" s="236"/>
      <c r="M133" s="236"/>
      <c r="N133" s="236"/>
      <c r="O133" s="236"/>
      <c r="P133" s="236"/>
      <c r="Q133" s="236"/>
    </row>
    <row r="136" spans="1:42" x14ac:dyDescent="0.25">
      <c r="I136" s="329"/>
    </row>
    <row r="140" spans="1:42" x14ac:dyDescent="0.25">
      <c r="B140" s="253"/>
      <c r="C140" s="253"/>
      <c r="D140" s="253"/>
      <c r="E140" s="253"/>
      <c r="F140" s="253"/>
      <c r="G140" s="253"/>
    </row>
    <row r="141" spans="1:42" x14ac:dyDescent="0.25">
      <c r="B141" s="253"/>
      <c r="C141" s="253"/>
      <c r="D141" s="253"/>
      <c r="E141" s="253"/>
      <c r="F141" s="253"/>
      <c r="G141" s="253"/>
    </row>
    <row r="142" spans="1:42" x14ac:dyDescent="0.25">
      <c r="B142" s="253"/>
      <c r="C142" s="253"/>
      <c r="D142" s="253"/>
      <c r="E142" s="253"/>
      <c r="F142" s="253"/>
      <c r="G142" s="253"/>
    </row>
    <row r="143" spans="1:42" x14ac:dyDescent="0.25">
      <c r="B143" s="253"/>
      <c r="C143" s="253"/>
      <c r="D143" s="253"/>
      <c r="E143" s="253"/>
      <c r="F143" s="253"/>
      <c r="G143" s="253"/>
    </row>
    <row r="144" spans="1:42" x14ac:dyDescent="0.25">
      <c r="A144" s="342"/>
      <c r="B144" s="341"/>
      <c r="C144" s="341"/>
      <c r="D144" s="341"/>
      <c r="E144" s="341"/>
      <c r="F144" s="341"/>
      <c r="G144" s="341"/>
      <c r="H144" s="341"/>
      <c r="I144" s="341"/>
      <c r="J144" s="341"/>
      <c r="K144" s="341"/>
      <c r="L144" s="341"/>
      <c r="M144" s="341"/>
      <c r="N144" s="341"/>
      <c r="O144" s="341"/>
      <c r="P144" s="341"/>
      <c r="Q144" s="341"/>
    </row>
    <row r="145" spans="1:17" x14ac:dyDescent="0.25">
      <c r="A145" s="341"/>
      <c r="B145" s="341"/>
      <c r="C145" s="341"/>
      <c r="D145" s="341"/>
      <c r="E145" s="341"/>
      <c r="F145" s="341"/>
      <c r="G145" s="341"/>
      <c r="H145" s="424"/>
      <c r="I145" s="424"/>
      <c r="J145" s="424"/>
      <c r="K145" s="424"/>
      <c r="L145" s="341"/>
      <c r="M145" s="341"/>
      <c r="N145" s="425"/>
      <c r="O145" s="425"/>
      <c r="P145" s="425"/>
      <c r="Q145" s="425"/>
    </row>
    <row r="197" spans="2:9" x14ac:dyDescent="0.25">
      <c r="B197" s="390"/>
      <c r="C197" s="390"/>
      <c r="D197" s="390"/>
      <c r="E197" s="390"/>
      <c r="F197" s="390"/>
      <c r="G197" s="390"/>
      <c r="H197" s="390"/>
      <c r="I197" s="390"/>
    </row>
  </sheetData>
  <mergeCells count="301">
    <mergeCell ref="A43:A44"/>
    <mergeCell ref="A47:A49"/>
    <mergeCell ref="N52:O52"/>
    <mergeCell ref="H3:Q3"/>
    <mergeCell ref="J57:M57"/>
    <mergeCell ref="B27:K27"/>
    <mergeCell ref="L28:Q28"/>
    <mergeCell ref="A5:B6"/>
    <mergeCell ref="C5:G6"/>
    <mergeCell ref="H4:J6"/>
    <mergeCell ref="K4:Q6"/>
    <mergeCell ref="B45:I45"/>
    <mergeCell ref="B42:I42"/>
    <mergeCell ref="B46:I46"/>
    <mergeCell ref="Q37:Q39"/>
    <mergeCell ref="A32:Q32"/>
    <mergeCell ref="A35:A36"/>
    <mergeCell ref="B35:I35"/>
    <mergeCell ref="J35:P35"/>
    <mergeCell ref="H1:Q1"/>
    <mergeCell ref="H2:Q2"/>
    <mergeCell ref="L25:Q25"/>
    <mergeCell ref="B23:K23"/>
    <mergeCell ref="L22:Q22"/>
    <mergeCell ref="L23:Q23"/>
    <mergeCell ref="L24:Q24"/>
    <mergeCell ref="L21:Q21"/>
    <mergeCell ref="L18:Q18"/>
    <mergeCell ref="L19:Q19"/>
    <mergeCell ref="A16:Q16"/>
    <mergeCell ref="A12:Q12"/>
    <mergeCell ref="A14:Q14"/>
    <mergeCell ref="A15:Q15"/>
    <mergeCell ref="L20:Q20"/>
    <mergeCell ref="H10:Q10"/>
    <mergeCell ref="A11:Q11"/>
    <mergeCell ref="B19:K19"/>
    <mergeCell ref="H7:J7"/>
    <mergeCell ref="H8:J8"/>
    <mergeCell ref="H9:J9"/>
    <mergeCell ref="K7:Q7"/>
    <mergeCell ref="K8:Q8"/>
    <mergeCell ref="K9:Q9"/>
    <mergeCell ref="A62:A64"/>
    <mergeCell ref="B63:I64"/>
    <mergeCell ref="J77:M77"/>
    <mergeCell ref="N77:O77"/>
    <mergeCell ref="J94:K94"/>
    <mergeCell ref="B102:I102"/>
    <mergeCell ref="J102:P102"/>
    <mergeCell ref="B18:K18"/>
    <mergeCell ref="B20:K20"/>
    <mergeCell ref="B22:K22"/>
    <mergeCell ref="B24:K24"/>
    <mergeCell ref="L26:Q26"/>
    <mergeCell ref="B26:K26"/>
    <mergeCell ref="A59:A61"/>
    <mergeCell ref="B21:K21"/>
    <mergeCell ref="B25:K25"/>
    <mergeCell ref="L27:Q27"/>
    <mergeCell ref="B60:I61"/>
    <mergeCell ref="A40:A42"/>
    <mergeCell ref="A56:A58"/>
    <mergeCell ref="A50:A52"/>
    <mergeCell ref="B33:M33"/>
    <mergeCell ref="A37:A39"/>
    <mergeCell ref="B37:I39"/>
    <mergeCell ref="A115:Q115"/>
    <mergeCell ref="A129:Q129"/>
    <mergeCell ref="A130:Q130"/>
    <mergeCell ref="A82:A84"/>
    <mergeCell ref="B82:I83"/>
    <mergeCell ref="J82:M82"/>
    <mergeCell ref="N82:O82"/>
    <mergeCell ref="Q82:Q84"/>
    <mergeCell ref="J83:M83"/>
    <mergeCell ref="N83:O83"/>
    <mergeCell ref="B84:I84"/>
    <mergeCell ref="J84:P84"/>
    <mergeCell ref="A108:Q108"/>
    <mergeCell ref="A118:Q118"/>
    <mergeCell ref="A119:Q119"/>
    <mergeCell ref="A120:Q120"/>
    <mergeCell ref="A121:Q121"/>
    <mergeCell ref="A107:Q107"/>
    <mergeCell ref="A106:Q106"/>
    <mergeCell ref="A105:Q105"/>
    <mergeCell ref="A110:Q110"/>
    <mergeCell ref="A111:Q111"/>
    <mergeCell ref="A112:Q112"/>
    <mergeCell ref="J93:K93"/>
    <mergeCell ref="B197:I197"/>
    <mergeCell ref="A128:Q128"/>
    <mergeCell ref="B74:I74"/>
    <mergeCell ref="A75:A77"/>
    <mergeCell ref="B70:I71"/>
    <mergeCell ref="B66:I67"/>
    <mergeCell ref="B69:I69"/>
    <mergeCell ref="J80:M80"/>
    <mergeCell ref="N80:O80"/>
    <mergeCell ref="J72:P72"/>
    <mergeCell ref="J68:P68"/>
    <mergeCell ref="J73:P73"/>
    <mergeCell ref="J74:O74"/>
    <mergeCell ref="J69:M69"/>
    <mergeCell ref="A65:A67"/>
    <mergeCell ref="A122:Q122"/>
    <mergeCell ref="A101:Q101"/>
    <mergeCell ref="L93:O94"/>
    <mergeCell ref="P93:Q94"/>
    <mergeCell ref="C94:D94"/>
    <mergeCell ref="E94:F94"/>
    <mergeCell ref="G94:I94"/>
    <mergeCell ref="B65:I65"/>
    <mergeCell ref="Q79:Q81"/>
    <mergeCell ref="H145:K145"/>
    <mergeCell ref="N145:Q145"/>
    <mergeCell ref="A123:Q123"/>
    <mergeCell ref="A125:Q125"/>
    <mergeCell ref="A126:Q126"/>
    <mergeCell ref="A117:Q117"/>
    <mergeCell ref="A124:Q124"/>
    <mergeCell ref="A131:Q131"/>
    <mergeCell ref="A69:A71"/>
    <mergeCell ref="B78:I78"/>
    <mergeCell ref="A109:Q109"/>
    <mergeCell ref="J78:P78"/>
    <mergeCell ref="A79:A81"/>
    <mergeCell ref="B79:I81"/>
    <mergeCell ref="C93:D93"/>
    <mergeCell ref="E93:F93"/>
    <mergeCell ref="G93:I93"/>
    <mergeCell ref="A73:A74"/>
    <mergeCell ref="B73:I73"/>
    <mergeCell ref="Q73:Q74"/>
    <mergeCell ref="N69:O69"/>
    <mergeCell ref="Q69:Q71"/>
    <mergeCell ref="A113:Q113"/>
    <mergeCell ref="A114:Q114"/>
    <mergeCell ref="B75:I77"/>
    <mergeCell ref="B62:I62"/>
    <mergeCell ref="B40:I41"/>
    <mergeCell ref="B43:I44"/>
    <mergeCell ref="J41:M41"/>
    <mergeCell ref="J45:P45"/>
    <mergeCell ref="B56:I57"/>
    <mergeCell ref="Q40:Q42"/>
    <mergeCell ref="B68:I68"/>
    <mergeCell ref="N70:O70"/>
    <mergeCell ref="J70:M70"/>
    <mergeCell ref="B53:I55"/>
    <mergeCell ref="Q50:Q52"/>
    <mergeCell ref="B50:I52"/>
    <mergeCell ref="N60:O60"/>
    <mergeCell ref="J61:M61"/>
    <mergeCell ref="N61:O61"/>
    <mergeCell ref="N41:O41"/>
    <mergeCell ref="Q53:Q55"/>
    <mergeCell ref="J59:M59"/>
    <mergeCell ref="J43:P43"/>
    <mergeCell ref="J46:P46"/>
    <mergeCell ref="Q59:Q61"/>
    <mergeCell ref="Q56:Q58"/>
    <mergeCell ref="J71:M71"/>
    <mergeCell ref="N71:O71"/>
    <mergeCell ref="B72:I72"/>
    <mergeCell ref="L29:Q29"/>
    <mergeCell ref="B28:K28"/>
    <mergeCell ref="J34:P34"/>
    <mergeCell ref="L30:Q30"/>
    <mergeCell ref="J36:O36"/>
    <mergeCell ref="N33:Q33"/>
    <mergeCell ref="Q35:Q36"/>
    <mergeCell ref="J37:P37"/>
    <mergeCell ref="N40:O40"/>
    <mergeCell ref="J50:M50"/>
    <mergeCell ref="J51:M51"/>
    <mergeCell ref="N50:O50"/>
    <mergeCell ref="N51:O51"/>
    <mergeCell ref="N56:O56"/>
    <mergeCell ref="N57:O57"/>
    <mergeCell ref="J56:M56"/>
    <mergeCell ref="J58:P58"/>
    <mergeCell ref="J53:P53"/>
    <mergeCell ref="B59:I59"/>
    <mergeCell ref="B58:I58"/>
    <mergeCell ref="J54:M54"/>
    <mergeCell ref="B36:I36"/>
    <mergeCell ref="B34:I34"/>
    <mergeCell ref="B29:K29"/>
    <mergeCell ref="B30:K30"/>
    <mergeCell ref="A53:A55"/>
    <mergeCell ref="X35:X36"/>
    <mergeCell ref="V50:V52"/>
    <mergeCell ref="X50:X52"/>
    <mergeCell ref="J44:P44"/>
    <mergeCell ref="J48:M48"/>
    <mergeCell ref="N48:O48"/>
    <mergeCell ref="J49:M49"/>
    <mergeCell ref="N49:O49"/>
    <mergeCell ref="B47:I49"/>
    <mergeCell ref="Q47:Q49"/>
    <mergeCell ref="V37:V39"/>
    <mergeCell ref="X37:X39"/>
    <mergeCell ref="J38:M38"/>
    <mergeCell ref="J39:M39"/>
    <mergeCell ref="N38:O38"/>
    <mergeCell ref="N39:O39"/>
    <mergeCell ref="S50:S52"/>
    <mergeCell ref="J52:M52"/>
    <mergeCell ref="S37:S39"/>
    <mergeCell ref="U37:U39"/>
    <mergeCell ref="S47:S49"/>
    <mergeCell ref="U35:U36"/>
    <mergeCell ref="J42:P42"/>
    <mergeCell ref="S40:S42"/>
    <mergeCell ref="Y53:Y55"/>
    <mergeCell ref="V56:V58"/>
    <mergeCell ref="X56:X58"/>
    <mergeCell ref="V40:V42"/>
    <mergeCell ref="X40:X42"/>
    <mergeCell ref="V47:V49"/>
    <mergeCell ref="X47:X49"/>
    <mergeCell ref="U56:U58"/>
    <mergeCell ref="U50:U52"/>
    <mergeCell ref="U53:U55"/>
    <mergeCell ref="U47:U49"/>
    <mergeCell ref="S56:S58"/>
    <mergeCell ref="N55:O55"/>
    <mergeCell ref="J40:M40"/>
    <mergeCell ref="J47:P47"/>
    <mergeCell ref="S35:S36"/>
    <mergeCell ref="S53:S55"/>
    <mergeCell ref="N54:O54"/>
    <mergeCell ref="J55:M55"/>
    <mergeCell ref="X59:X61"/>
    <mergeCell ref="V62:V64"/>
    <mergeCell ref="X62:X64"/>
    <mergeCell ref="V65:V67"/>
    <mergeCell ref="X65:X67"/>
    <mergeCell ref="U65:U67"/>
    <mergeCell ref="N66:O66"/>
    <mergeCell ref="N62:O62"/>
    <mergeCell ref="S65:S67"/>
    <mergeCell ref="N63:O63"/>
    <mergeCell ref="J62:M62"/>
    <mergeCell ref="N64:O64"/>
    <mergeCell ref="U40:U42"/>
    <mergeCell ref="W53:W55"/>
    <mergeCell ref="N65:O65"/>
    <mergeCell ref="Q65:Q67"/>
    <mergeCell ref="J66:M66"/>
    <mergeCell ref="J67:M67"/>
    <mergeCell ref="V59:V61"/>
    <mergeCell ref="U75:U77"/>
    <mergeCell ref="S75:S77"/>
    <mergeCell ref="N59:O59"/>
    <mergeCell ref="X69:X71"/>
    <mergeCell ref="J75:P75"/>
    <mergeCell ref="V75:V77"/>
    <mergeCell ref="X75:X77"/>
    <mergeCell ref="J76:M76"/>
    <mergeCell ref="N76:O76"/>
    <mergeCell ref="J60:M60"/>
    <mergeCell ref="J64:M64"/>
    <mergeCell ref="U62:U64"/>
    <mergeCell ref="U59:U61"/>
    <mergeCell ref="S59:S61"/>
    <mergeCell ref="S62:S64"/>
    <mergeCell ref="Q62:Q64"/>
    <mergeCell ref="Q75:Q77"/>
    <mergeCell ref="U73:U74"/>
    <mergeCell ref="U69:U71"/>
    <mergeCell ref="S73:S74"/>
    <mergeCell ref="S69:S71"/>
    <mergeCell ref="N67:O67"/>
    <mergeCell ref="J65:M65"/>
    <mergeCell ref="J63:M63"/>
    <mergeCell ref="B98:I98"/>
    <mergeCell ref="J98:P98"/>
    <mergeCell ref="S79:S81"/>
    <mergeCell ref="U79:U81"/>
    <mergeCell ref="W79:W81"/>
    <mergeCell ref="Y79:Y81"/>
    <mergeCell ref="J81:M81"/>
    <mergeCell ref="V79:V81"/>
    <mergeCell ref="X79:X81"/>
    <mergeCell ref="A97:Q97"/>
    <mergeCell ref="J79:P79"/>
    <mergeCell ref="S82:S84"/>
    <mergeCell ref="U82:U84"/>
    <mergeCell ref="V82:V84"/>
    <mergeCell ref="X82:X84"/>
    <mergeCell ref="A91:B91"/>
    <mergeCell ref="C91:Q91"/>
    <mergeCell ref="A92:D92"/>
    <mergeCell ref="E92:F92"/>
    <mergeCell ref="G92:I92"/>
    <mergeCell ref="J92:K92"/>
    <mergeCell ref="L92:P92"/>
    <mergeCell ref="N81:O81"/>
  </mergeCells>
  <pageMargins left="0.59055118110236227" right="0.23622047244094491" top="0.35433070866141736" bottom="0.59055118110236227" header="0.31496062992125984" footer="7.874015748031496E-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6" r:id="rId4" name="Button 32">
              <controlPr defaultSize="0" print="0" autoFill="0" autoPict="0" macro="[0]!обновление">
                <anchor moveWithCells="1">
                  <from>
                    <xdr:col>8</xdr:col>
                    <xdr:colOff>38100</xdr:colOff>
                    <xdr:row>87</xdr:row>
                    <xdr:rowOff>19050</xdr:rowOff>
                  </from>
                  <to>
                    <xdr:col>16</xdr:col>
                    <xdr:colOff>38100</xdr:colOff>
                    <xdr:row>87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" name="Button 58">
              <controlPr defaultSize="0" print="0" autoFill="0" autoPict="0" macro="[0]!Сброс">
                <anchor moveWithCells="1" sizeWithCells="1">
                  <from>
                    <xdr:col>0</xdr:col>
                    <xdr:colOff>38100</xdr:colOff>
                    <xdr:row>87</xdr:row>
                    <xdr:rowOff>19050</xdr:rowOff>
                  </from>
                  <to>
                    <xdr:col>5</xdr:col>
                    <xdr:colOff>142875</xdr:colOff>
                    <xdr:row>87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" name="Button 62">
              <controlPr defaultSize="0" print="0" autoFill="0" autoPict="0" macro="[0]!Печать">
                <anchor moveWithCells="1" sizeWithCells="1">
                  <from>
                    <xdr:col>0</xdr:col>
                    <xdr:colOff>381000</xdr:colOff>
                    <xdr:row>132</xdr:row>
                    <xdr:rowOff>76200</xdr:rowOff>
                  </from>
                  <to>
                    <xdr:col>3</xdr:col>
                    <xdr:colOff>161925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7" name="Button 63">
              <controlPr defaultSize="0" print="0" autoFill="0" autoPict="0" macro="[0]!отмена">
                <anchor moveWithCells="1" sizeWithCells="1">
                  <from>
                    <xdr:col>11</xdr:col>
                    <xdr:colOff>0</xdr:colOff>
                    <xdr:row>132</xdr:row>
                    <xdr:rowOff>57150</xdr:rowOff>
                  </from>
                  <to>
                    <xdr:col>16</xdr:col>
                    <xdr:colOff>247650</xdr:colOff>
                    <xdr:row>132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8" name="Button 92">
              <controlPr defaultSize="0" print="0" autoFill="0" autoPict="0" macro="[0]!КИП" altText="Добавить оборудование">
                <anchor moveWithCells="1" sizeWithCells="1">
                  <from>
                    <xdr:col>0</xdr:col>
                    <xdr:colOff>0</xdr:colOff>
                    <xdr:row>92</xdr:row>
                    <xdr:rowOff>28575</xdr:rowOff>
                  </from>
                  <to>
                    <xdr:col>1</xdr:col>
                    <xdr:colOff>523875</xdr:colOff>
                    <xdr:row>93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" name="Button 159">
              <controlPr defaultSize="0" print="0" autoFill="0" autoPict="0" macro="[0]!Новая_установка">
                <anchor moveWithCells="1">
                  <from>
                    <xdr:col>8</xdr:col>
                    <xdr:colOff>38100</xdr:colOff>
                    <xdr:row>88</xdr:row>
                    <xdr:rowOff>19050</xdr:rowOff>
                  </from>
                  <to>
                    <xdr:col>16</xdr:col>
                    <xdr:colOff>38100</xdr:colOff>
                    <xdr:row>88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0" name="Button 161">
              <controlPr defaultSize="0" print="0" autoFill="0" autoPict="0" macro="[0]!удаление_системы">
                <anchor moveWithCells="1" sizeWithCells="1">
                  <from>
                    <xdr:col>0</xdr:col>
                    <xdr:colOff>38100</xdr:colOff>
                    <xdr:row>88</xdr:row>
                    <xdr:rowOff>19050</xdr:rowOff>
                  </from>
                  <to>
                    <xdr:col>5</xdr:col>
                    <xdr:colOff>142875</xdr:colOff>
                    <xdr:row>88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1" name="Button 237">
              <controlPr defaultSize="0" print="0" autoFill="0" autoPict="0" macro="[0]!Дополнительное_оборудование" altText="Добавить оборудование">
                <anchor moveWithCells="1" sizeWithCells="1">
                  <from>
                    <xdr:col>11</xdr:col>
                    <xdr:colOff>38100</xdr:colOff>
                    <xdr:row>92</xdr:row>
                    <xdr:rowOff>28575</xdr:rowOff>
                  </from>
                  <to>
                    <xdr:col>14</xdr:col>
                    <xdr:colOff>209550</xdr:colOff>
                    <xdr:row>93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12" name="Button 304">
              <controlPr defaultSize="0" print="0" autoFill="0" autoPict="0" macro="[0]!Добавить_КИП42">
                <anchor moveWithCells="1" sizeWithCells="1">
                  <from>
                    <xdr:col>1</xdr:col>
                    <xdr:colOff>390525</xdr:colOff>
                    <xdr:row>100</xdr:row>
                    <xdr:rowOff>0</xdr:rowOff>
                  </from>
                  <to>
                    <xdr:col>8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13" name="Button 305">
              <controlPr defaultSize="0" print="0" autoFill="0" autoPict="0" macro="[0]!Калькулятор">
                <anchor moveWithCells="1" sizeWithCells="1">
                  <from>
                    <xdr:col>10</xdr:col>
                    <xdr:colOff>0</xdr:colOff>
                    <xdr:row>100</xdr:row>
                    <xdr:rowOff>0</xdr:rowOff>
                  </from>
                  <to>
                    <xdr:col>16</xdr:col>
                    <xdr:colOff>133350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14" name="Button 323">
              <controlPr defaultSize="0" print="0" autoFill="0" autoPict="0" macro="[0]!Добавить_КИП42">
                <anchor moveWithCells="1" sizeWithCells="1">
                  <from>
                    <xdr:col>1</xdr:col>
                    <xdr:colOff>390525</xdr:colOff>
                    <xdr:row>100</xdr:row>
                    <xdr:rowOff>0</xdr:rowOff>
                  </from>
                  <to>
                    <xdr:col>8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15" name="Button 324">
              <controlPr defaultSize="0" print="0" autoFill="0" autoPict="0" macro="[0]!Калькулятор">
                <anchor moveWithCells="1" sizeWithCells="1">
                  <from>
                    <xdr:col>10</xdr:col>
                    <xdr:colOff>0</xdr:colOff>
                    <xdr:row>100</xdr:row>
                    <xdr:rowOff>0</xdr:rowOff>
                  </from>
                  <to>
                    <xdr:col>16</xdr:col>
                    <xdr:colOff>133350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16" name="Button 333">
              <controlPr defaultSize="0" print="0" autoFill="0" autoPict="0" macro="[0]!Добавить_КИП42">
                <anchor moveWithCells="1" sizeWithCells="1">
                  <from>
                    <xdr:col>1</xdr:col>
                    <xdr:colOff>390525</xdr:colOff>
                    <xdr:row>100</xdr:row>
                    <xdr:rowOff>0</xdr:rowOff>
                  </from>
                  <to>
                    <xdr:col>8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17" name="Button 334">
              <controlPr defaultSize="0" print="0" autoFill="0" autoPict="0" macro="[0]!Калькулятор">
                <anchor moveWithCells="1" sizeWithCells="1">
                  <from>
                    <xdr:col>10</xdr:col>
                    <xdr:colOff>0</xdr:colOff>
                    <xdr:row>100</xdr:row>
                    <xdr:rowOff>0</xdr:rowOff>
                  </from>
                  <to>
                    <xdr:col>16</xdr:col>
                    <xdr:colOff>133350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18" name="Button 339">
              <controlPr defaultSize="0" print="0" autoFill="0" autoPict="0" macro="[0]!Добавить_КИП42">
                <anchor moveWithCells="1" sizeWithCells="1">
                  <from>
                    <xdr:col>1</xdr:col>
                    <xdr:colOff>390525</xdr:colOff>
                    <xdr:row>100</xdr:row>
                    <xdr:rowOff>0</xdr:rowOff>
                  </from>
                  <to>
                    <xdr:col>8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19" name="Button 340">
              <controlPr defaultSize="0" print="0" autoFill="0" autoPict="0" macro="[0]!Калькулятор">
                <anchor moveWithCells="1" sizeWithCells="1">
                  <from>
                    <xdr:col>10</xdr:col>
                    <xdr:colOff>0</xdr:colOff>
                    <xdr:row>100</xdr:row>
                    <xdr:rowOff>0</xdr:rowOff>
                  </from>
                  <to>
                    <xdr:col>16</xdr:col>
                    <xdr:colOff>133350</xdr:colOff>
                    <xdr:row>100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7">
        <x14:dataValidation type="list" allowBlank="1" showInputMessage="1" showErrorMessage="1">
          <x14:formula1>
            <xm:f>Техника!$X$50:$X$55</xm:f>
          </x14:formula1>
          <xm:sqref>N63:O63 N41:O41 N51:O51 N57:O57 N60:O60 N66:O66 N70:O70 N39:O39 N49:O49 N55:O55 N77:O77 N81:O81 N83:O83</xm:sqref>
        </x14:dataValidation>
        <x14:dataValidation type="list" allowBlank="1" showInputMessage="1" showErrorMessage="1">
          <x14:formula1>
            <xm:f>Лист3!$C$118:$C$120</xm:f>
          </x14:formula1>
          <xm:sqref>L26</xm:sqref>
        </x14:dataValidation>
        <x14:dataValidation type="list" allowBlank="1" showInputMessage="1" showErrorMessage="1">
          <x14:formula1>
            <xm:f>Лист3!$D$122:$D$123</xm:f>
          </x14:formula1>
          <xm:sqref>L28</xm:sqref>
        </x14:dataValidation>
        <x14:dataValidation type="list" allowBlank="1" showInputMessage="1" showErrorMessage="1">
          <x14:formula1>
            <xm:f>Лист3!$E$119:$E$121</xm:f>
          </x14:formula1>
          <xm:sqref>L29</xm:sqref>
        </x14:dataValidation>
        <x14:dataValidation type="list" allowBlank="1" showInputMessage="1" showErrorMessage="1">
          <x14:formula1>
            <xm:f>Лист3!$A$135:$A$138</xm:f>
          </x14:formula1>
          <xm:sqref>C91:Q91</xm:sqref>
        </x14:dataValidation>
        <x14:dataValidation type="list" allowBlank="1" showInputMessage="1" showErrorMessage="1">
          <x14:formula1>
            <xm:f>Лист3!$A$117:$A$125</xm:f>
          </x14:formula1>
          <xm:sqref>L25:Q25</xm:sqref>
        </x14:dataValidation>
        <x14:dataValidation type="list" allowBlank="1" showInputMessage="1" showErrorMessage="1">
          <x14:formula1>
            <xm:f>Лист3!$D$132:$D$134</xm:f>
          </x14:formula1>
          <xm:sqref>E93:F94</xm:sqref>
        </x14:dataValidation>
        <x14:dataValidation type="list" allowBlank="1" showInputMessage="1" showErrorMessage="1">
          <x14:formula1>
            <xm:f>Лист3!$C$135:$C$137</xm:f>
          </x14:formula1>
          <xm:sqref>P93:Q94</xm:sqref>
        </x14:dataValidation>
        <x14:dataValidation type="list" allowBlank="1" showInputMessage="1" showErrorMessage="1">
          <x14:formula1>
            <xm:f>УР!$B$47</xm:f>
          </x14:formula1>
          <xm:sqref>J75:P75</xm:sqref>
        </x14:dataValidation>
        <x14:dataValidation type="list" allowBlank="1" showInputMessage="1" showErrorMessage="1">
          <x14:formula1>
            <xm:f>Лист3!$A$143:$A$144</xm:f>
          </x14:formula1>
          <xm:sqref>B73:I73</xm:sqref>
        </x14:dataValidation>
        <x14:dataValidation type="list" allowBlank="1" showInputMessage="1" showErrorMessage="1">
          <x14:formula1>
            <xm:f>Лист3!$A$180:$A$181</xm:f>
          </x14:formula1>
          <xm:sqref>B68:I68</xm:sqref>
        </x14:dataValidation>
        <x14:dataValidation type="list" allowBlank="1" showInputMessage="1" showErrorMessage="1">
          <x14:formula1>
            <xm:f>Техника!$X$68:$X$72</xm:f>
          </x14:formula1>
          <xm:sqref>B63:I64 B60:I61</xm:sqref>
        </x14:dataValidation>
        <x14:dataValidation type="list" allowBlank="1" showInputMessage="1" showErrorMessage="1">
          <x14:formula1>
            <xm:f>Техника!$X$73:$X$74</xm:f>
          </x14:formula1>
          <xm:sqref>B65:I65</xm:sqref>
        </x14:dataValidation>
        <x14:dataValidation type="list" allowBlank="1" showInputMessage="1" showErrorMessage="1">
          <x14:formula1>
            <xm:f>Техника!$X$63:$X$67</xm:f>
          </x14:formula1>
          <xm:sqref>B70:I71 B66:I67</xm:sqref>
        </x14:dataValidation>
        <x14:dataValidation type="list" allowBlank="1" showInputMessage="1" showErrorMessage="1">
          <x14:formula1>
            <xm:f>Техника!$X$75:$X$76</xm:f>
          </x14:formula1>
          <xm:sqref>B69:I69</xm:sqref>
        </x14:dataValidation>
        <x14:dataValidation type="list" allowBlank="1" showInputMessage="1" showErrorMessage="1">
          <x14:formula1>
            <xm:f>УР!$B$2:$B$38</xm:f>
          </x14:formula1>
          <xm:sqref>J37:P37 J47:P47 J53:P53</xm:sqref>
        </x14:dataValidation>
        <x14:dataValidation type="list" allowBlank="1" showInputMessage="1" showErrorMessage="1">
          <x14:formula1>
            <xm:f>Лист3!$A$7:$A$9</xm:f>
          </x14:formula1>
          <xm:sqref>L19:Q19</xm:sqref>
        </x14:dataValidation>
        <x14:dataValidation type="list" allowBlank="1" showInputMessage="1" showErrorMessage="1">
          <x14:formula1>
            <xm:f>Лист3!$A$11:$A$13</xm:f>
          </x14:formula1>
          <xm:sqref>L21:Q21 L24:Q24</xm:sqref>
        </x14:dataValidation>
        <x14:dataValidation type="list" allowBlank="1" showInputMessage="1" showErrorMessage="1">
          <x14:formula1>
            <xm:f>Лист3!$A$139:$A$140</xm:f>
          </x14:formula1>
          <xm:sqref>B35:I35</xm:sqref>
        </x14:dataValidation>
        <x14:dataValidation type="list" allowBlank="1" showInputMessage="1" showErrorMessage="1">
          <x14:formula1>
            <xm:f>Лист3!$A$145:$A$146</xm:f>
          </x14:formula1>
          <xm:sqref>B45:I45</xm:sqref>
        </x14:dataValidation>
        <x14:dataValidation type="list" allowBlank="1" showInputMessage="1" showErrorMessage="1">
          <x14:formula1>
            <xm:f>Лист3!$A$147:$A$149</xm:f>
          </x14:formula1>
          <xm:sqref>B46:I46</xm:sqref>
        </x14:dataValidation>
        <x14:dataValidation type="list" allowBlank="1" showInputMessage="1" showErrorMessage="1">
          <x14:formula1>
            <xm:f>Лист3!$C$103:$C$105</xm:f>
          </x14:formula1>
          <xm:sqref>J79:P79</xm:sqref>
        </x14:dataValidation>
        <x14:dataValidation type="list" allowBlank="1" showInputMessage="1" showErrorMessage="1">
          <x14:formula1>
            <xm:f>Лист3!$A$102:$A$103</xm:f>
          </x14:formula1>
          <xm:sqref>J78:P78</xm:sqref>
        </x14:dataValidation>
        <x14:dataValidation type="list" allowBlank="1" showInputMessage="1" showErrorMessage="1">
          <x14:formula1>
            <xm:f>Лист3!$D$100:$D$111</xm:f>
          </x14:formula1>
          <xm:sqref>A126:Q126</xm:sqref>
        </x14:dataValidation>
        <x14:dataValidation type="list" allowBlank="1" showInputMessage="1" showErrorMessage="1">
          <x14:formula1>
            <xm:f>Лист3!$A$38:$A$39</xm:f>
          </x14:formula1>
          <xm:sqref>B53:I55</xm:sqref>
        </x14:dataValidation>
        <x14:dataValidation type="list" allowBlank="1" showInputMessage="1" showErrorMessage="1">
          <x14:formula1>
            <xm:f>Лист3!$A$182:$A$183</xm:f>
          </x14:formula1>
          <xm:sqref>B72:I72</xm:sqref>
        </x14:dataValidation>
        <x14:dataValidation type="list" allowBlank="1" showInputMessage="1" showErrorMessage="1">
          <x14:formula1>
            <xm:f>Техника!$A$1:$A$53</xm:f>
          </x14:formula1>
          <xm:sqref>J45:P46 J72:P73 J35:P35 J68:P68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AD518"/>
  <sheetViews>
    <sheetView zoomScaleNormal="100" workbookViewId="0">
      <pane ySplit="1" topLeftCell="A2" activePane="bottomLeft" state="frozen"/>
      <selection pane="bottomLeft" activeCell="A5" sqref="A5:I5"/>
    </sheetView>
  </sheetViews>
  <sheetFormatPr defaultRowHeight="15" x14ac:dyDescent="0.25"/>
  <cols>
    <col min="1" max="1" width="12" customWidth="1"/>
    <col min="2" max="4" width="6.7109375" customWidth="1"/>
    <col min="5" max="5" width="6.7109375" style="173" customWidth="1"/>
    <col min="6" max="21" width="6.7109375" customWidth="1"/>
    <col min="22" max="23" width="6.7109375" style="327" customWidth="1"/>
    <col min="24" max="31" width="6.7109375" customWidth="1"/>
  </cols>
  <sheetData>
    <row r="1" spans="1:30" ht="18.75" x14ac:dyDescent="0.25">
      <c r="A1" s="354"/>
      <c r="B1" s="492"/>
      <c r="C1" s="492"/>
      <c r="D1" s="492"/>
      <c r="E1" s="492"/>
      <c r="F1" s="492"/>
      <c r="G1" s="492"/>
      <c r="H1" s="492"/>
      <c r="I1" s="492"/>
      <c r="J1" s="493"/>
      <c r="K1" s="494"/>
      <c r="L1" s="494"/>
      <c r="M1" s="494"/>
      <c r="N1" s="494"/>
      <c r="O1" s="494"/>
      <c r="P1" s="494"/>
      <c r="Q1" s="494"/>
      <c r="R1" s="311"/>
      <c r="S1" s="311"/>
      <c r="T1" s="356"/>
      <c r="U1" s="208"/>
      <c r="V1" s="208"/>
      <c r="W1" s="208"/>
      <c r="X1" s="291"/>
      <c r="Y1" s="51"/>
      <c r="Z1" s="51"/>
      <c r="AA1" s="51"/>
      <c r="AB1" s="51"/>
      <c r="AC1" s="51"/>
      <c r="AD1" s="51"/>
    </row>
    <row r="2" spans="1:30" x14ac:dyDescent="0.25">
      <c r="A2" s="314" t="str">
        <f>U2&amp;T2</f>
        <v>1.</v>
      </c>
      <c r="B2" s="407"/>
      <c r="C2" s="407"/>
      <c r="D2" s="407"/>
      <c r="E2" s="407"/>
      <c r="F2" s="407"/>
      <c r="G2" s="407"/>
      <c r="H2" s="407"/>
      <c r="I2" s="407"/>
      <c r="J2" s="495"/>
      <c r="K2" s="495"/>
      <c r="L2" s="495"/>
      <c r="M2" s="495"/>
      <c r="N2" s="495"/>
      <c r="O2" s="495"/>
      <c r="P2" s="495"/>
      <c r="Q2" s="328">
        <v>0</v>
      </c>
      <c r="R2" s="316"/>
      <c r="S2" s="316"/>
      <c r="T2" s="316" t="s">
        <v>206</v>
      </c>
      <c r="U2" s="234">
        <f>1+U1</f>
        <v>1</v>
      </c>
      <c r="V2" s="234"/>
      <c r="W2" s="234"/>
      <c r="X2" s="291"/>
      <c r="Y2" s="51"/>
      <c r="Z2" s="51"/>
      <c r="AA2" s="51"/>
      <c r="AB2" s="51"/>
      <c r="AC2" s="51"/>
      <c r="AD2" s="51"/>
    </row>
    <row r="3" spans="1:30" ht="18.75" x14ac:dyDescent="0.25">
      <c r="A3" s="242"/>
      <c r="B3" s="492"/>
      <c r="C3" s="492"/>
      <c r="D3" s="492"/>
      <c r="E3" s="492"/>
      <c r="F3" s="492"/>
      <c r="G3" s="492"/>
      <c r="H3" s="492"/>
      <c r="I3" s="492"/>
      <c r="J3" s="493"/>
      <c r="K3" s="494"/>
      <c r="L3" s="494"/>
      <c r="M3" s="494"/>
      <c r="N3" s="494"/>
      <c r="O3" s="494"/>
      <c r="P3" s="494"/>
      <c r="Q3" s="494"/>
      <c r="R3" s="238"/>
      <c r="S3" s="239"/>
      <c r="T3" s="285"/>
      <c r="U3" s="241"/>
      <c r="V3" s="241"/>
      <c r="W3" s="241"/>
      <c r="X3" s="291"/>
      <c r="Y3" s="51"/>
      <c r="Z3" s="51"/>
      <c r="AA3" s="51"/>
      <c r="AB3" s="51"/>
      <c r="AC3" s="51"/>
      <c r="AD3" s="51"/>
    </row>
    <row r="4" spans="1:30" ht="18.75" x14ac:dyDescent="0.25">
      <c r="A4" s="242"/>
      <c r="B4" s="317"/>
      <c r="C4" s="317"/>
      <c r="D4" s="317"/>
      <c r="E4" s="317"/>
      <c r="F4" s="317"/>
      <c r="G4" s="317"/>
      <c r="H4" s="317"/>
      <c r="I4" s="317"/>
      <c r="J4" s="318"/>
      <c r="K4" s="319"/>
      <c r="L4" s="319"/>
      <c r="M4" s="319"/>
      <c r="N4" s="319"/>
      <c r="O4" s="319"/>
      <c r="P4" s="319"/>
      <c r="Q4" s="319"/>
      <c r="R4" s="238"/>
      <c r="S4" s="239"/>
      <c r="T4" s="285"/>
      <c r="U4" s="241"/>
      <c r="V4" s="241"/>
      <c r="W4" s="241"/>
      <c r="X4" s="291"/>
      <c r="Y4" s="51"/>
      <c r="Z4" s="51"/>
      <c r="AA4" s="51"/>
      <c r="AB4" s="51"/>
      <c r="AC4" s="51"/>
      <c r="AD4" s="51"/>
    </row>
    <row r="5" spans="1:30" x14ac:dyDescent="0.25">
      <c r="A5" s="315" t="str">
        <f>U5&amp;T5</f>
        <v>1.</v>
      </c>
      <c r="B5" s="496"/>
      <c r="C5" s="496"/>
      <c r="D5" s="496"/>
      <c r="E5" s="496"/>
      <c r="F5" s="496"/>
      <c r="G5" s="496"/>
      <c r="H5" s="496"/>
      <c r="I5" s="496"/>
      <c r="J5" s="497"/>
      <c r="K5" s="497"/>
      <c r="L5" s="497"/>
      <c r="M5" s="497"/>
      <c r="N5" s="497"/>
      <c r="O5" s="497"/>
      <c r="P5" s="497"/>
      <c r="Q5" s="209">
        <v>0</v>
      </c>
      <c r="R5" s="234"/>
      <c r="S5" s="234"/>
      <c r="T5" s="234" t="s">
        <v>206</v>
      </c>
      <c r="U5" s="234">
        <f>1+U4</f>
        <v>1</v>
      </c>
      <c r="V5" s="234"/>
      <c r="W5" s="234"/>
      <c r="X5" s="291"/>
      <c r="Y5" s="51"/>
      <c r="Z5" s="51"/>
      <c r="AA5" s="51"/>
      <c r="AB5" s="51"/>
      <c r="AC5" s="51"/>
      <c r="AD5" s="51"/>
    </row>
    <row r="6" spans="1:30" ht="18.75" x14ac:dyDescent="0.25">
      <c r="A6" s="244"/>
      <c r="B6" s="498"/>
      <c r="C6" s="498"/>
      <c r="D6" s="498"/>
      <c r="E6" s="498"/>
      <c r="F6" s="498"/>
      <c r="G6" s="498"/>
      <c r="H6" s="498"/>
      <c r="I6" s="498"/>
      <c r="J6" s="499"/>
      <c r="K6" s="500"/>
      <c r="L6" s="500"/>
      <c r="M6" s="500"/>
      <c r="N6" s="500"/>
      <c r="O6" s="500"/>
      <c r="P6" s="500"/>
      <c r="Q6" s="500"/>
      <c r="R6" s="241"/>
      <c r="S6" s="241"/>
      <c r="T6" s="241"/>
      <c r="U6" s="241"/>
      <c r="V6" s="241"/>
      <c r="W6" s="241"/>
      <c r="X6" s="291"/>
      <c r="Y6" s="51"/>
      <c r="Z6" s="51"/>
      <c r="AA6" s="51"/>
      <c r="AB6" s="51"/>
      <c r="AC6" s="51"/>
      <c r="AD6" s="51"/>
    </row>
    <row r="7" spans="1:30" ht="18.75" x14ac:dyDescent="0.25">
      <c r="A7" s="354" t="str">
        <f>U7&amp;T7</f>
        <v/>
      </c>
      <c r="B7" s="245"/>
      <c r="C7" s="245"/>
      <c r="D7" s="245"/>
      <c r="E7" s="245"/>
      <c r="F7" s="245"/>
      <c r="G7" s="245"/>
      <c r="H7" s="245"/>
      <c r="I7" s="245"/>
      <c r="J7" s="246"/>
      <c r="K7" s="246"/>
      <c r="L7" s="246"/>
      <c r="M7" s="246"/>
      <c r="N7" s="246"/>
      <c r="O7" s="246"/>
      <c r="P7" s="246"/>
      <c r="Q7" s="246"/>
      <c r="R7" s="241"/>
      <c r="S7" s="241"/>
      <c r="T7" s="241"/>
      <c r="U7" s="241"/>
      <c r="V7" s="241"/>
      <c r="W7" s="241"/>
      <c r="X7" s="291"/>
      <c r="Y7" s="51"/>
      <c r="Z7" s="51"/>
      <c r="AA7" s="51"/>
      <c r="AB7" s="51"/>
      <c r="AC7" s="51"/>
      <c r="AD7" s="51"/>
    </row>
    <row r="8" spans="1:30" ht="18.75" x14ac:dyDescent="0.25">
      <c r="A8" s="354" t="str">
        <f>U8&amp;T8</f>
        <v>1.</v>
      </c>
      <c r="B8" s="492"/>
      <c r="C8" s="492"/>
      <c r="D8" s="492"/>
      <c r="E8" s="492"/>
      <c r="F8" s="492"/>
      <c r="G8" s="492"/>
      <c r="H8" s="492"/>
      <c r="I8" s="492"/>
      <c r="J8" s="493"/>
      <c r="K8" s="494"/>
      <c r="L8" s="494"/>
      <c r="M8" s="494"/>
      <c r="N8" s="494"/>
      <c r="O8" s="494"/>
      <c r="P8" s="494"/>
      <c r="Q8" s="494"/>
      <c r="R8" s="355"/>
      <c r="S8" s="355"/>
      <c r="T8" s="356" t="s">
        <v>206</v>
      </c>
      <c r="U8" s="208">
        <f>1+U7</f>
        <v>1</v>
      </c>
      <c r="V8" s="51"/>
      <c r="W8" s="51"/>
      <c r="X8" s="291"/>
      <c r="Y8" s="51"/>
      <c r="Z8" s="51"/>
      <c r="AA8" s="51"/>
      <c r="AB8" s="51"/>
      <c r="AC8" s="51"/>
      <c r="AD8" s="51"/>
    </row>
    <row r="9" spans="1:30" x14ac:dyDescent="0.25">
      <c r="A9" s="51"/>
      <c r="B9" s="51"/>
      <c r="C9" s="51"/>
      <c r="D9" s="174"/>
      <c r="E9" s="174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291"/>
      <c r="Y9" s="51"/>
      <c r="Z9" s="51"/>
      <c r="AA9" s="51"/>
      <c r="AB9" s="51"/>
      <c r="AC9" s="51"/>
      <c r="AD9" s="51"/>
    </row>
    <row r="10" spans="1:30" x14ac:dyDescent="0.25">
      <c r="A10" s="51"/>
      <c r="B10" s="337"/>
      <c r="C10" s="337"/>
      <c r="D10" s="338"/>
      <c r="E10" s="338"/>
      <c r="F10" s="337"/>
      <c r="G10" s="337" t="s">
        <v>918</v>
      </c>
      <c r="H10" s="337"/>
      <c r="I10" s="337" t="s">
        <v>912</v>
      </c>
      <c r="J10" s="337"/>
      <c r="K10" s="337"/>
      <c r="L10" s="337"/>
      <c r="M10" s="337"/>
      <c r="N10" s="337"/>
      <c r="O10" s="337" t="s">
        <v>925</v>
      </c>
      <c r="P10" s="337"/>
      <c r="Q10" s="337"/>
      <c r="R10" s="51"/>
      <c r="S10" s="51"/>
      <c r="T10" s="51"/>
      <c r="U10" s="51"/>
      <c r="V10" s="51"/>
      <c r="W10" s="51"/>
      <c r="X10" s="291"/>
      <c r="Y10" s="51"/>
      <c r="Z10" s="51"/>
      <c r="AA10" s="51"/>
      <c r="AB10" s="51"/>
      <c r="AC10" s="51"/>
      <c r="AD10" s="51"/>
    </row>
    <row r="11" spans="1:30" x14ac:dyDescent="0.25">
      <c r="A11" s="51"/>
      <c r="B11" s="337"/>
      <c r="C11" s="337"/>
      <c r="D11" s="338"/>
      <c r="E11" s="339" t="s">
        <v>910</v>
      </c>
      <c r="F11" s="339"/>
      <c r="G11" s="337" t="s">
        <v>919</v>
      </c>
      <c r="H11" s="337"/>
      <c r="I11" s="337" t="s">
        <v>913</v>
      </c>
      <c r="J11" s="337" t="s">
        <v>916</v>
      </c>
      <c r="K11" s="337"/>
      <c r="L11" s="337"/>
      <c r="M11" s="337"/>
      <c r="N11" s="337" t="s">
        <v>923</v>
      </c>
      <c r="O11" s="337" t="s">
        <v>926</v>
      </c>
      <c r="P11" s="337"/>
      <c r="Q11" s="337" t="s">
        <v>20</v>
      </c>
      <c r="R11" s="51"/>
      <c r="S11" s="51"/>
      <c r="T11" s="51"/>
      <c r="U11" s="51"/>
      <c r="V11" s="51"/>
      <c r="W11" s="51"/>
      <c r="X11" s="291"/>
      <c r="Y11" s="51"/>
      <c r="Z11" s="51"/>
      <c r="AA11" s="51"/>
      <c r="AB11" s="51"/>
      <c r="AC11" s="51"/>
      <c r="AD11" s="51"/>
    </row>
    <row r="12" spans="1:30" x14ac:dyDescent="0.25">
      <c r="A12" s="51"/>
      <c r="B12" s="337" t="s">
        <v>906</v>
      </c>
      <c r="C12" s="337" t="s">
        <v>907</v>
      </c>
      <c r="D12" s="338" t="s">
        <v>908</v>
      </c>
      <c r="E12" s="339" t="s">
        <v>930</v>
      </c>
      <c r="F12" s="339" t="s">
        <v>909</v>
      </c>
      <c r="G12" s="337" t="s">
        <v>920</v>
      </c>
      <c r="H12" s="337" t="s">
        <v>911</v>
      </c>
      <c r="I12" s="337" t="s">
        <v>914</v>
      </c>
      <c r="J12" s="337" t="s">
        <v>917</v>
      </c>
      <c r="K12" s="337" t="s">
        <v>907</v>
      </c>
      <c r="L12" s="337" t="s">
        <v>921</v>
      </c>
      <c r="M12" s="337" t="s">
        <v>922</v>
      </c>
      <c r="N12" s="337" t="s">
        <v>924</v>
      </c>
      <c r="O12" s="337" t="s">
        <v>927</v>
      </c>
      <c r="P12" s="337" t="s">
        <v>928</v>
      </c>
      <c r="Q12" s="337" t="s">
        <v>929</v>
      </c>
      <c r="R12" s="340" t="s">
        <v>907</v>
      </c>
      <c r="S12" s="340" t="s">
        <v>921</v>
      </c>
      <c r="T12" s="340" t="s">
        <v>922</v>
      </c>
      <c r="U12" s="340" t="s">
        <v>909</v>
      </c>
      <c r="V12" s="340" t="s">
        <v>908</v>
      </c>
      <c r="W12" s="51"/>
      <c r="X12" s="291"/>
      <c r="Y12" s="51"/>
      <c r="Z12" s="51"/>
      <c r="AA12" s="51"/>
      <c r="AB12" s="51"/>
      <c r="AC12" s="51"/>
      <c r="AD12" s="51"/>
    </row>
    <row r="13" spans="1:30" x14ac:dyDescent="0.25">
      <c r="A13" s="51"/>
      <c r="B13" s="51"/>
      <c r="C13" s="51"/>
      <c r="D13" s="174"/>
      <c r="E13" s="174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291"/>
      <c r="Y13" s="51"/>
      <c r="Z13" s="51"/>
      <c r="AA13" s="51"/>
      <c r="AB13" s="51"/>
      <c r="AC13" s="51"/>
      <c r="AD13" s="51"/>
    </row>
    <row r="14" spans="1:30" x14ac:dyDescent="0.25">
      <c r="A14" s="51"/>
      <c r="B14" s="51"/>
      <c r="C14" s="51"/>
      <c r="D14" s="174"/>
      <c r="E14" s="174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291"/>
      <c r="Y14" s="51"/>
      <c r="Z14" s="51"/>
      <c r="AA14" s="51"/>
      <c r="AB14" s="51"/>
      <c r="AC14" s="51"/>
      <c r="AD14" s="51"/>
    </row>
    <row r="15" spans="1:30" x14ac:dyDescent="0.25">
      <c r="A15" s="51" t="s">
        <v>905</v>
      </c>
      <c r="B15" s="51"/>
      <c r="C15" s="51"/>
      <c r="D15" s="174"/>
      <c r="E15" s="174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291"/>
      <c r="Y15" s="51"/>
      <c r="Z15" s="51"/>
      <c r="AA15" s="51"/>
      <c r="AB15" s="51"/>
      <c r="AC15" s="51"/>
      <c r="AD15" s="51"/>
    </row>
    <row r="16" spans="1:30" x14ac:dyDescent="0.25">
      <c r="A16" s="51"/>
      <c r="B16" s="51"/>
      <c r="C16" s="51"/>
      <c r="D16" s="174"/>
      <c r="E16" s="174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291"/>
      <c r="Y16" s="51"/>
      <c r="Z16" s="51"/>
      <c r="AA16" s="51"/>
      <c r="AB16" s="51"/>
      <c r="AC16" s="51"/>
      <c r="AD16" s="51"/>
    </row>
    <row r="17" spans="1:30" x14ac:dyDescent="0.25">
      <c r="A17" s="51"/>
      <c r="B17" s="51"/>
      <c r="C17" s="51"/>
      <c r="D17" s="174"/>
      <c r="E17" s="174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291"/>
      <c r="Y17" s="51"/>
      <c r="Z17" s="51"/>
      <c r="AA17" s="51"/>
      <c r="AB17" s="51"/>
      <c r="AC17" s="51"/>
      <c r="AD17" s="51"/>
    </row>
    <row r="18" spans="1:30" x14ac:dyDescent="0.25">
      <c r="A18" s="51"/>
      <c r="B18" s="51"/>
      <c r="C18" s="51"/>
      <c r="D18" s="174"/>
      <c r="E18" s="174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291"/>
      <c r="Y18" s="51"/>
      <c r="Z18" s="51"/>
      <c r="AA18" s="51"/>
      <c r="AB18" s="51"/>
      <c r="AC18" s="51"/>
      <c r="AD18" s="51"/>
    </row>
    <row r="19" spans="1:30" x14ac:dyDescent="0.25">
      <c r="A19" s="51"/>
      <c r="B19" s="51"/>
      <c r="C19" s="51"/>
      <c r="D19" s="174"/>
      <c r="E19" s="174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291"/>
      <c r="Y19" s="51"/>
      <c r="Z19" s="51"/>
      <c r="AA19" s="51"/>
      <c r="AB19" s="51"/>
      <c r="AC19" s="51"/>
      <c r="AD19" s="51"/>
    </row>
    <row r="20" spans="1:30" x14ac:dyDescent="0.25">
      <c r="A20" s="51"/>
      <c r="B20" s="51"/>
      <c r="C20" s="51"/>
      <c r="D20" s="174"/>
      <c r="E20" s="174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</row>
    <row r="21" spans="1:30" x14ac:dyDescent="0.25">
      <c r="A21" s="51"/>
      <c r="B21" s="51"/>
      <c r="C21" s="51"/>
      <c r="D21" s="174"/>
      <c r="E21" s="174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</row>
    <row r="22" spans="1:30" x14ac:dyDescent="0.25">
      <c r="A22" s="51"/>
      <c r="B22" s="51"/>
      <c r="C22" s="51"/>
      <c r="D22" s="174"/>
      <c r="E22" s="174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</row>
    <row r="23" spans="1:30" x14ac:dyDescent="0.25">
      <c r="A23" s="51"/>
      <c r="B23" s="51"/>
      <c r="C23" s="51"/>
      <c r="D23" s="174"/>
      <c r="E23" s="174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</row>
    <row r="24" spans="1:30" x14ac:dyDescent="0.25">
      <c r="A24" s="51"/>
      <c r="B24" s="51"/>
      <c r="C24" s="51"/>
      <c r="D24" s="174"/>
      <c r="E24" s="174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</row>
    <row r="25" spans="1:30" x14ac:dyDescent="0.25">
      <c r="A25" s="51"/>
      <c r="B25" s="51"/>
      <c r="C25" s="51"/>
      <c r="D25" s="174"/>
      <c r="E25" s="174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</row>
    <row r="26" spans="1:30" x14ac:dyDescent="0.25">
      <c r="A26" s="51"/>
      <c r="B26" s="51"/>
      <c r="C26" s="51"/>
      <c r="D26" s="174"/>
      <c r="E26" s="174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</row>
    <row r="27" spans="1:30" x14ac:dyDescent="0.25">
      <c r="A27" s="51"/>
      <c r="B27" s="51"/>
      <c r="C27" s="51"/>
      <c r="D27" s="174"/>
      <c r="E27" s="174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</row>
    <row r="28" spans="1:30" x14ac:dyDescent="0.25">
      <c r="A28" s="51"/>
      <c r="B28" s="51"/>
      <c r="C28" s="51"/>
      <c r="D28" s="174"/>
      <c r="E28" s="174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</row>
    <row r="29" spans="1:30" x14ac:dyDescent="0.25">
      <c r="A29" s="51"/>
      <c r="B29" s="51"/>
      <c r="C29" s="51"/>
      <c r="D29" s="174"/>
      <c r="E29" s="174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</row>
    <row r="30" spans="1:30" x14ac:dyDescent="0.25">
      <c r="A30" s="51"/>
      <c r="B30" s="51"/>
      <c r="C30" s="51"/>
      <c r="D30" s="174"/>
      <c r="E30" s="174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</row>
    <row r="31" spans="1:30" x14ac:dyDescent="0.25">
      <c r="A31" s="51"/>
      <c r="B31" s="51"/>
      <c r="C31" s="51"/>
      <c r="D31" s="174"/>
      <c r="E31" s="174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</row>
    <row r="32" spans="1:30" x14ac:dyDescent="0.25">
      <c r="A32" s="51"/>
      <c r="B32" s="51"/>
      <c r="C32" s="51"/>
      <c r="D32" s="174"/>
      <c r="E32" s="174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</row>
    <row r="33" spans="1:30" x14ac:dyDescent="0.25">
      <c r="A33" s="51"/>
      <c r="B33" s="51"/>
      <c r="C33" s="51"/>
      <c r="D33" s="174"/>
      <c r="E33" s="174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</row>
    <row r="34" spans="1:30" x14ac:dyDescent="0.25">
      <c r="A34" s="51"/>
      <c r="B34" s="51"/>
      <c r="C34" s="51"/>
      <c r="D34" s="174"/>
      <c r="E34" s="174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</row>
    <row r="35" spans="1:30" x14ac:dyDescent="0.25">
      <c r="A35" s="51"/>
      <c r="B35" s="51"/>
      <c r="C35" s="51"/>
      <c r="D35" s="174"/>
      <c r="E35" s="174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</row>
    <row r="36" spans="1:30" x14ac:dyDescent="0.25">
      <c r="A36" s="51"/>
      <c r="B36" s="51"/>
      <c r="C36" s="51"/>
      <c r="D36" s="174"/>
      <c r="E36" s="174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</row>
    <row r="37" spans="1:30" x14ac:dyDescent="0.25">
      <c r="A37" s="51"/>
      <c r="B37" s="51"/>
      <c r="C37" s="51"/>
      <c r="D37" s="174"/>
      <c r="E37" s="17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</row>
    <row r="38" spans="1:30" x14ac:dyDescent="0.25">
      <c r="A38" s="51"/>
      <c r="B38" s="51"/>
      <c r="C38" s="51"/>
      <c r="D38" s="174"/>
      <c r="E38" s="174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</row>
    <row r="39" spans="1:30" x14ac:dyDescent="0.25">
      <c r="A39" s="51"/>
      <c r="B39" s="51"/>
      <c r="C39" s="51"/>
      <c r="D39" s="174"/>
      <c r="E39" s="174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</row>
    <row r="40" spans="1:30" x14ac:dyDescent="0.25">
      <c r="A40" s="51"/>
      <c r="B40" s="51"/>
      <c r="C40" s="51"/>
      <c r="D40" s="174"/>
      <c r="E40" s="174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</row>
    <row r="41" spans="1:30" x14ac:dyDescent="0.25">
      <c r="A41" s="51"/>
      <c r="B41" s="51"/>
      <c r="C41" s="51"/>
      <c r="D41" s="174"/>
      <c r="E41" s="174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</row>
    <row r="42" spans="1:30" x14ac:dyDescent="0.25">
      <c r="A42" s="51"/>
      <c r="B42" s="51"/>
      <c r="C42" s="51"/>
      <c r="D42" s="174"/>
      <c r="E42" s="174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</row>
    <row r="43" spans="1:30" x14ac:dyDescent="0.25">
      <c r="A43" s="51"/>
      <c r="B43" s="51"/>
      <c r="C43" s="51"/>
      <c r="D43" s="174"/>
      <c r="E43" s="174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</row>
    <row r="44" spans="1:30" x14ac:dyDescent="0.25">
      <c r="A44" s="51"/>
      <c r="B44" s="51"/>
      <c r="C44" s="51"/>
      <c r="D44" s="174"/>
      <c r="E44" s="174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</row>
    <row r="45" spans="1:30" x14ac:dyDescent="0.25">
      <c r="A45" s="51"/>
      <c r="B45" s="51"/>
      <c r="C45" s="51"/>
      <c r="D45" s="174"/>
      <c r="E45" s="174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</row>
    <row r="46" spans="1:30" x14ac:dyDescent="0.25">
      <c r="A46" s="51"/>
      <c r="B46" s="51"/>
      <c r="C46" s="51"/>
      <c r="D46" s="174"/>
      <c r="E46" s="174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</row>
    <row r="47" spans="1:30" x14ac:dyDescent="0.25">
      <c r="A47" s="51"/>
      <c r="B47" s="51"/>
      <c r="C47" s="51"/>
      <c r="D47" s="174"/>
      <c r="E47" s="174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</row>
    <row r="48" spans="1:30" x14ac:dyDescent="0.25">
      <c r="A48" s="51"/>
      <c r="B48" s="51"/>
      <c r="C48" s="51"/>
      <c r="D48" s="174"/>
      <c r="E48" s="174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</row>
    <row r="49" spans="1:30" x14ac:dyDescent="0.25">
      <c r="A49" s="51"/>
      <c r="B49" s="51"/>
      <c r="C49" s="51"/>
      <c r="D49" s="174"/>
      <c r="E49" s="17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</row>
    <row r="50" spans="1:30" x14ac:dyDescent="0.25">
      <c r="A50" s="51"/>
      <c r="B50" s="51"/>
      <c r="C50" s="51"/>
      <c r="D50" s="174"/>
      <c r="E50" s="174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</row>
    <row r="51" spans="1:30" x14ac:dyDescent="0.25">
      <c r="A51" s="51"/>
      <c r="B51" s="51"/>
      <c r="C51" s="51"/>
      <c r="D51" s="174"/>
      <c r="E51" s="174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</row>
    <row r="52" spans="1:30" x14ac:dyDescent="0.25">
      <c r="A52" s="51"/>
      <c r="B52" s="51"/>
      <c r="C52" s="51"/>
      <c r="D52" s="174"/>
      <c r="E52" s="174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</row>
    <row r="53" spans="1:30" x14ac:dyDescent="0.25">
      <c r="A53" s="51"/>
      <c r="B53" s="51"/>
      <c r="C53" s="51"/>
      <c r="D53" s="174"/>
      <c r="E53" s="174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</row>
    <row r="54" spans="1:30" x14ac:dyDescent="0.25">
      <c r="A54" s="51"/>
      <c r="B54" s="51"/>
      <c r="C54" s="51"/>
      <c r="D54" s="174"/>
      <c r="E54" s="174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</row>
    <row r="55" spans="1:30" x14ac:dyDescent="0.25">
      <c r="A55" s="51"/>
      <c r="B55" s="51"/>
      <c r="C55" s="51"/>
      <c r="D55" s="174"/>
      <c r="E55" s="174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</row>
    <row r="56" spans="1:30" x14ac:dyDescent="0.25">
      <c r="A56" s="51"/>
      <c r="B56" s="51"/>
      <c r="C56" s="51"/>
      <c r="D56" s="174"/>
      <c r="E56" s="174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</row>
    <row r="57" spans="1:30" x14ac:dyDescent="0.25">
      <c r="A57" s="51"/>
      <c r="B57" s="51"/>
      <c r="C57" s="51"/>
      <c r="D57" s="174"/>
      <c r="E57" s="174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</row>
    <row r="58" spans="1:30" x14ac:dyDescent="0.25">
      <c r="A58" s="51"/>
      <c r="B58" s="51"/>
      <c r="C58" s="51"/>
      <c r="D58" s="174"/>
      <c r="E58" s="174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1"/>
    </row>
    <row r="59" spans="1:30" x14ac:dyDescent="0.25">
      <c r="A59" s="51"/>
      <c r="B59" s="51"/>
      <c r="C59" s="51"/>
      <c r="D59" s="174"/>
      <c r="E59" s="174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</row>
    <row r="60" spans="1:30" x14ac:dyDescent="0.25">
      <c r="A60" s="51"/>
      <c r="B60" s="51"/>
      <c r="C60" s="51"/>
      <c r="D60" s="174"/>
      <c r="E60" s="174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1"/>
    </row>
    <row r="61" spans="1:30" x14ac:dyDescent="0.25">
      <c r="A61" s="51"/>
      <c r="B61" s="51"/>
      <c r="C61" s="51"/>
      <c r="D61" s="174"/>
      <c r="E61" s="174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</row>
    <row r="62" spans="1:30" x14ac:dyDescent="0.25">
      <c r="A62" s="51"/>
      <c r="B62" s="51"/>
      <c r="C62" s="51"/>
      <c r="D62" s="174"/>
      <c r="E62" s="174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1"/>
    </row>
    <row r="63" spans="1:30" x14ac:dyDescent="0.25">
      <c r="A63" s="51"/>
      <c r="B63" s="51"/>
      <c r="C63" s="51"/>
      <c r="D63" s="174"/>
      <c r="E63" s="174"/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</row>
    <row r="64" spans="1:30" x14ac:dyDescent="0.25">
      <c r="A64" s="51"/>
      <c r="B64" s="51"/>
      <c r="C64" s="51"/>
      <c r="D64" s="174"/>
      <c r="E64" s="174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</row>
    <row r="65" spans="1:30" x14ac:dyDescent="0.25">
      <c r="A65" s="51"/>
      <c r="B65" s="51"/>
      <c r="C65" s="51"/>
      <c r="D65" s="174"/>
      <c r="E65" s="174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</row>
    <row r="66" spans="1:30" x14ac:dyDescent="0.25">
      <c r="A66" s="51"/>
      <c r="B66" s="51"/>
      <c r="C66" s="51"/>
      <c r="D66" s="174"/>
      <c r="E66" s="174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</row>
    <row r="67" spans="1:30" x14ac:dyDescent="0.25">
      <c r="A67" s="51"/>
      <c r="B67" s="51"/>
      <c r="C67" s="51"/>
      <c r="D67" s="174"/>
      <c r="E67" s="174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</row>
    <row r="68" spans="1:30" x14ac:dyDescent="0.25">
      <c r="A68" s="51"/>
      <c r="B68" s="51"/>
      <c r="C68" s="51"/>
      <c r="D68" s="174"/>
      <c r="E68" s="174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</row>
    <row r="69" spans="1:30" x14ac:dyDescent="0.25">
      <c r="A69" s="51"/>
      <c r="B69" s="51"/>
      <c r="C69" s="51"/>
      <c r="D69" s="174"/>
      <c r="E69" s="174"/>
      <c r="F69" s="51"/>
      <c r="G69" s="51"/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1"/>
    </row>
    <row r="70" spans="1:30" x14ac:dyDescent="0.25">
      <c r="A70" s="51"/>
      <c r="B70" s="51"/>
      <c r="C70" s="51"/>
      <c r="D70" s="174"/>
      <c r="E70" s="174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1"/>
    </row>
    <row r="71" spans="1:30" x14ac:dyDescent="0.25">
      <c r="A71" s="51"/>
      <c r="B71" s="51"/>
      <c r="C71" s="51"/>
      <c r="D71" s="174"/>
      <c r="E71" s="174"/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1"/>
    </row>
    <row r="72" spans="1:30" x14ac:dyDescent="0.25">
      <c r="A72" s="51"/>
      <c r="B72" s="51"/>
      <c r="C72" s="51"/>
      <c r="D72" s="174"/>
      <c r="E72" s="174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1"/>
    </row>
    <row r="73" spans="1:30" x14ac:dyDescent="0.25">
      <c r="A73" s="51"/>
      <c r="B73" s="51"/>
      <c r="C73" s="51"/>
      <c r="D73" s="174"/>
      <c r="E73" s="174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</row>
    <row r="74" spans="1:30" x14ac:dyDescent="0.25">
      <c r="A74" s="51"/>
      <c r="B74" s="51"/>
      <c r="C74" s="51"/>
      <c r="D74" s="174"/>
      <c r="E74" s="174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51"/>
    </row>
    <row r="75" spans="1:30" x14ac:dyDescent="0.25">
      <c r="A75" s="51"/>
      <c r="B75" s="51"/>
      <c r="C75" s="51"/>
      <c r="D75" s="174"/>
      <c r="E75" s="174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1"/>
    </row>
    <row r="76" spans="1:30" x14ac:dyDescent="0.25">
      <c r="A76" s="51"/>
      <c r="B76" s="51"/>
      <c r="C76" s="51"/>
      <c r="D76" s="174"/>
      <c r="E76" s="174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</row>
    <row r="77" spans="1:30" x14ac:dyDescent="0.25">
      <c r="A77" s="51"/>
      <c r="B77" s="51"/>
      <c r="C77" s="51"/>
      <c r="D77" s="174"/>
      <c r="E77" s="174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51"/>
    </row>
    <row r="78" spans="1:30" x14ac:dyDescent="0.25">
      <c r="A78" s="51"/>
      <c r="B78" s="51"/>
      <c r="C78" s="51"/>
      <c r="D78" s="174"/>
      <c r="E78" s="174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</row>
    <row r="79" spans="1:30" x14ac:dyDescent="0.25">
      <c r="A79" s="51"/>
      <c r="B79" s="51"/>
      <c r="C79" s="51"/>
      <c r="D79" s="174"/>
      <c r="E79" s="174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/>
      <c r="W79" s="51"/>
      <c r="X79" s="51"/>
      <c r="Y79" s="51"/>
      <c r="Z79" s="51"/>
      <c r="AA79" s="51"/>
      <c r="AB79" s="51"/>
      <c r="AC79" s="51"/>
      <c r="AD79" s="51"/>
    </row>
    <row r="80" spans="1:30" x14ac:dyDescent="0.25">
      <c r="A80" s="51"/>
      <c r="B80" s="51"/>
      <c r="C80" s="51"/>
      <c r="D80" s="174"/>
      <c r="E80" s="174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</row>
    <row r="81" spans="1:30" x14ac:dyDescent="0.25">
      <c r="A81" s="51"/>
      <c r="B81" s="51"/>
      <c r="C81" s="51"/>
      <c r="D81" s="174"/>
      <c r="E81" s="174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/>
      <c r="W81" s="51"/>
      <c r="X81" s="51"/>
      <c r="Y81" s="51"/>
      <c r="Z81" s="51"/>
      <c r="AA81" s="51"/>
      <c r="AB81" s="51"/>
      <c r="AC81" s="51"/>
      <c r="AD81" s="51"/>
    </row>
    <row r="82" spans="1:30" x14ac:dyDescent="0.25">
      <c r="A82" s="51"/>
      <c r="B82" s="51"/>
      <c r="C82" s="51"/>
      <c r="D82" s="174"/>
      <c r="E82" s="174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  <c r="S82" s="51"/>
      <c r="T82" s="51"/>
      <c r="U82" s="51"/>
      <c r="V82" s="51"/>
      <c r="W82" s="51"/>
      <c r="X82" s="51"/>
      <c r="Y82" s="51"/>
      <c r="Z82" s="51"/>
      <c r="AA82" s="51"/>
      <c r="AB82" s="51"/>
      <c r="AC82" s="51"/>
      <c r="AD82" s="51"/>
    </row>
    <row r="83" spans="1:30" x14ac:dyDescent="0.25">
      <c r="A83" s="51"/>
      <c r="B83" s="51"/>
      <c r="C83" s="51"/>
      <c r="D83" s="174"/>
      <c r="E83" s="174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  <c r="Z83" s="51"/>
      <c r="AA83" s="51"/>
      <c r="AB83" s="51"/>
      <c r="AC83" s="51"/>
      <c r="AD83" s="51"/>
    </row>
    <row r="84" spans="1:30" x14ac:dyDescent="0.25">
      <c r="A84" s="51"/>
      <c r="B84" s="51"/>
      <c r="C84" s="51"/>
      <c r="D84" s="174"/>
      <c r="E84" s="174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  <c r="S84" s="51"/>
      <c r="T84" s="51"/>
      <c r="U84" s="51"/>
      <c r="V84" s="51"/>
      <c r="W84" s="51"/>
      <c r="X84" s="51"/>
      <c r="Y84" s="51"/>
      <c r="Z84" s="51"/>
      <c r="AA84" s="51"/>
      <c r="AB84" s="51"/>
      <c r="AC84" s="51"/>
      <c r="AD84" s="51"/>
    </row>
    <row r="85" spans="1:30" x14ac:dyDescent="0.25">
      <c r="A85" s="51"/>
      <c r="B85" s="51"/>
      <c r="C85" s="51"/>
      <c r="D85" s="174"/>
      <c r="E85" s="174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  <c r="S85" s="51"/>
      <c r="T85" s="51"/>
      <c r="U85" s="51"/>
      <c r="V85" s="51"/>
      <c r="W85" s="51"/>
      <c r="X85" s="51"/>
      <c r="Y85" s="51"/>
      <c r="Z85" s="51"/>
      <c r="AA85" s="51"/>
      <c r="AB85" s="51"/>
      <c r="AC85" s="51"/>
      <c r="AD85" s="51"/>
    </row>
    <row r="86" spans="1:30" x14ac:dyDescent="0.25">
      <c r="A86" s="51"/>
      <c r="B86" s="51"/>
      <c r="C86" s="51"/>
      <c r="D86" s="174"/>
      <c r="E86" s="174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</row>
    <row r="87" spans="1:30" x14ac:dyDescent="0.25">
      <c r="A87" s="51"/>
      <c r="B87" s="51"/>
      <c r="C87" s="51"/>
      <c r="D87" s="174"/>
      <c r="E87" s="174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  <c r="S87" s="51"/>
      <c r="T87" s="51"/>
      <c r="U87" s="51"/>
      <c r="V87" s="51"/>
      <c r="W87" s="51"/>
      <c r="X87" s="51"/>
      <c r="Y87" s="51"/>
      <c r="Z87" s="51"/>
      <c r="AA87" s="51"/>
      <c r="AB87" s="51"/>
      <c r="AC87" s="51"/>
      <c r="AD87" s="51"/>
    </row>
    <row r="88" spans="1:30" x14ac:dyDescent="0.25">
      <c r="A88" s="51"/>
      <c r="B88" s="51"/>
      <c r="C88" s="51"/>
      <c r="D88" s="174"/>
      <c r="E88" s="174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  <c r="S88" s="51"/>
      <c r="T88" s="51"/>
      <c r="U88" s="51"/>
      <c r="V88" s="51"/>
      <c r="W88" s="51"/>
      <c r="X88" s="51"/>
      <c r="Y88" s="51"/>
      <c r="Z88" s="51"/>
      <c r="AA88" s="51"/>
      <c r="AB88" s="51"/>
      <c r="AC88" s="51"/>
      <c r="AD88" s="51"/>
    </row>
    <row r="89" spans="1:30" x14ac:dyDescent="0.25">
      <c r="A89" s="51"/>
      <c r="B89" s="51"/>
      <c r="C89" s="51"/>
      <c r="D89" s="174"/>
      <c r="E89" s="174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51"/>
    </row>
    <row r="90" spans="1:30" x14ac:dyDescent="0.25">
      <c r="A90" s="51"/>
      <c r="B90" s="51"/>
      <c r="C90" s="51"/>
      <c r="D90" s="175"/>
      <c r="E90" s="175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51"/>
    </row>
    <row r="91" spans="1:30" x14ac:dyDescent="0.25">
      <c r="A91" s="51"/>
      <c r="B91" s="51"/>
      <c r="C91" s="51"/>
      <c r="D91" s="176"/>
      <c r="E91" s="176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>
        <v>41</v>
      </c>
      <c r="S91" s="51"/>
      <c r="T91" s="51"/>
      <c r="U91" s="51"/>
      <c r="V91" s="51"/>
      <c r="W91" s="51"/>
      <c r="X91" s="51"/>
      <c r="Y91" s="51"/>
      <c r="Z91" s="51"/>
      <c r="AA91" s="51"/>
      <c r="AB91" s="51"/>
      <c r="AC91" s="51"/>
      <c r="AD91" s="51"/>
    </row>
    <row r="92" spans="1:30" x14ac:dyDescent="0.25">
      <c r="A92" s="51"/>
      <c r="B92" s="51"/>
      <c r="C92" s="51"/>
      <c r="D92" s="176"/>
      <c r="E92" s="176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51"/>
    </row>
    <row r="93" spans="1:30" s="321" customFormat="1" x14ac:dyDescent="0.25">
      <c r="A93" s="51"/>
      <c r="B93" s="51"/>
      <c r="C93" s="51"/>
      <c r="D93" s="176"/>
      <c r="E93" s="176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  <c r="Y93" s="51"/>
      <c r="Z93" s="51"/>
      <c r="AA93" s="51"/>
      <c r="AB93" s="51"/>
      <c r="AC93" s="51"/>
      <c r="AD93" s="51"/>
    </row>
    <row r="94" spans="1:30" s="321" customFormat="1" x14ac:dyDescent="0.25">
      <c r="A94" s="51"/>
      <c r="B94" s="51"/>
      <c r="C94" s="51"/>
      <c r="D94" s="176"/>
      <c r="E94" s="176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  <c r="S94" s="51"/>
      <c r="T94" s="51"/>
      <c r="U94" s="51"/>
      <c r="V94" s="51"/>
      <c r="W94" s="51"/>
      <c r="X94" s="51"/>
      <c r="Y94" s="51"/>
      <c r="Z94" s="51"/>
      <c r="AA94" s="51"/>
      <c r="AB94" s="51"/>
      <c r="AC94" s="51"/>
      <c r="AD94" s="51"/>
    </row>
    <row r="95" spans="1:30" s="321" customFormat="1" x14ac:dyDescent="0.25">
      <c r="A95" s="51"/>
      <c r="B95" s="51"/>
      <c r="C95" s="51"/>
      <c r="D95" s="176"/>
      <c r="E95" s="176"/>
      <c r="F95" s="51"/>
      <c r="G95" s="51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1"/>
    </row>
    <row r="96" spans="1:30" x14ac:dyDescent="0.25">
      <c r="A96" s="51"/>
      <c r="B96" s="51"/>
      <c r="C96" s="51"/>
      <c r="D96" s="176"/>
      <c r="E96" s="176"/>
      <c r="F96" s="51"/>
      <c r="G96" s="51"/>
      <c r="H96" s="51"/>
      <c r="I96" s="51"/>
      <c r="J96" s="51"/>
      <c r="K96" s="51"/>
      <c r="L96" s="51"/>
      <c r="M96" s="51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/>
      <c r="AA96" s="51"/>
      <c r="AB96" s="51"/>
      <c r="AC96" s="51"/>
      <c r="AD96" s="51"/>
    </row>
    <row r="97" spans="1:30" x14ac:dyDescent="0.25">
      <c r="A97" s="51"/>
      <c r="B97" s="51"/>
      <c r="C97" s="51"/>
      <c r="D97" s="176"/>
      <c r="E97" s="176"/>
      <c r="F97" s="51"/>
      <c r="G97" s="51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</row>
    <row r="98" spans="1:30" x14ac:dyDescent="0.25">
      <c r="A98" s="51"/>
      <c r="B98" s="51"/>
      <c r="C98" s="51"/>
      <c r="D98" s="176"/>
      <c r="E98" s="176"/>
      <c r="F98" s="51"/>
      <c r="G98" s="51"/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1"/>
      <c r="Y98" s="51"/>
      <c r="Z98" s="51"/>
      <c r="AA98" s="51"/>
      <c r="AB98" s="51"/>
      <c r="AC98" s="51"/>
      <c r="AD98" s="51"/>
    </row>
    <row r="99" spans="1:30" x14ac:dyDescent="0.25">
      <c r="A99" s="51"/>
      <c r="B99" s="51"/>
      <c r="C99" s="51"/>
      <c r="D99" s="176"/>
      <c r="E99" s="176"/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  <c r="AB99" s="51"/>
      <c r="AC99" s="51"/>
      <c r="AD99" s="51"/>
    </row>
    <row r="100" spans="1:30" x14ac:dyDescent="0.25">
      <c r="A100" s="51"/>
      <c r="B100" s="51"/>
      <c r="C100" s="51"/>
      <c r="D100" s="176"/>
      <c r="E100" s="176"/>
      <c r="F100" s="51"/>
      <c r="G100" s="51"/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  <c r="AB100" s="51"/>
      <c r="AC100" s="51"/>
      <c r="AD100" s="51"/>
    </row>
    <row r="101" spans="1:30" x14ac:dyDescent="0.25">
      <c r="A101" s="51"/>
      <c r="B101" s="51"/>
      <c r="C101" s="51"/>
      <c r="D101" s="176"/>
      <c r="E101" s="176"/>
      <c r="F101" s="51"/>
      <c r="G101" s="51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  <c r="AA101" s="51"/>
      <c r="AB101" s="51"/>
      <c r="AC101" s="51"/>
      <c r="AD101" s="51"/>
    </row>
    <row r="102" spans="1:30" x14ac:dyDescent="0.25">
      <c r="A102" s="51"/>
      <c r="B102" s="51"/>
      <c r="C102" s="51"/>
      <c r="D102" s="176"/>
      <c r="E102" s="176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</row>
    <row r="103" spans="1:30" x14ac:dyDescent="0.25">
      <c r="A103" s="51"/>
      <c r="B103" s="51"/>
      <c r="C103" s="51"/>
      <c r="D103" s="176"/>
      <c r="E103" s="176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</row>
    <row r="104" spans="1:30" x14ac:dyDescent="0.25">
      <c r="A104" s="51"/>
      <c r="B104" s="51"/>
      <c r="C104" s="51"/>
      <c r="D104" s="176"/>
      <c r="E104" s="176"/>
      <c r="F104" s="51"/>
      <c r="G104" s="51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</row>
    <row r="105" spans="1:30" x14ac:dyDescent="0.25">
      <c r="A105" s="51"/>
      <c r="B105" s="51"/>
      <c r="C105" s="51"/>
      <c r="D105" s="176"/>
      <c r="E105" s="176"/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</row>
    <row r="106" spans="1:30" x14ac:dyDescent="0.25">
      <c r="A106" s="51"/>
      <c r="B106" s="51"/>
      <c r="C106" s="51"/>
      <c r="D106" s="176"/>
      <c r="E106" s="176"/>
      <c r="F106" s="51"/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1"/>
    </row>
    <row r="107" spans="1:30" x14ac:dyDescent="0.25">
      <c r="A107" s="51"/>
      <c r="B107" s="51"/>
      <c r="C107" s="51"/>
      <c r="D107" s="176"/>
      <c r="E107" s="176"/>
      <c r="F107" s="51"/>
      <c r="G107" s="51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</row>
    <row r="108" spans="1:30" x14ac:dyDescent="0.25">
      <c r="A108" s="51"/>
      <c r="B108" s="51"/>
      <c r="C108" s="51"/>
      <c r="D108" s="176"/>
      <c r="E108" s="176"/>
      <c r="F108" s="51"/>
      <c r="G108" s="51"/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1"/>
      <c r="S108" s="51"/>
      <c r="T108" s="51"/>
      <c r="U108" s="51"/>
      <c r="V108" s="51"/>
      <c r="W108" s="51"/>
      <c r="X108" s="51"/>
      <c r="Y108" s="51"/>
      <c r="Z108" s="51"/>
      <c r="AA108" s="51"/>
      <c r="AB108" s="51"/>
      <c r="AC108" s="51"/>
      <c r="AD108" s="51"/>
    </row>
    <row r="109" spans="1:30" x14ac:dyDescent="0.25">
      <c r="A109" s="51"/>
      <c r="B109" s="51"/>
      <c r="C109" s="51"/>
      <c r="D109" s="176"/>
      <c r="E109" s="176"/>
      <c r="F109" s="51"/>
      <c r="G109" s="51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</row>
    <row r="110" spans="1:30" x14ac:dyDescent="0.25">
      <c r="A110" s="51"/>
      <c r="B110" s="51"/>
      <c r="C110" s="51"/>
      <c r="D110" s="176"/>
      <c r="E110" s="176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</row>
    <row r="111" spans="1:30" x14ac:dyDescent="0.25">
      <c r="A111" s="51"/>
      <c r="B111" s="51"/>
      <c r="C111" s="51"/>
      <c r="D111" s="176"/>
      <c r="E111" s="176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1"/>
    </row>
    <row r="112" spans="1:30" x14ac:dyDescent="0.25">
      <c r="A112" s="51"/>
      <c r="B112" s="51"/>
      <c r="C112" s="51"/>
      <c r="D112" s="176"/>
      <c r="E112" s="176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1"/>
    </row>
    <row r="113" spans="1:30" x14ac:dyDescent="0.25">
      <c r="A113" s="51"/>
      <c r="B113" s="51"/>
      <c r="C113" s="51"/>
      <c r="D113" s="176"/>
      <c r="E113" s="176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</row>
    <row r="114" spans="1:30" x14ac:dyDescent="0.25">
      <c r="A114" s="51"/>
      <c r="B114" s="51"/>
      <c r="C114" s="51"/>
      <c r="D114" s="176"/>
      <c r="E114" s="176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</row>
    <row r="115" spans="1:30" x14ac:dyDescent="0.25">
      <c r="A115" s="51"/>
      <c r="B115" s="51"/>
      <c r="C115" s="51"/>
      <c r="D115" s="176"/>
      <c r="E115" s="176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</row>
    <row r="116" spans="1:30" x14ac:dyDescent="0.25">
      <c r="A116" s="51"/>
      <c r="B116" s="51"/>
      <c r="C116" s="51"/>
      <c r="D116" s="176"/>
      <c r="E116" s="176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1"/>
    </row>
    <row r="117" spans="1:30" x14ac:dyDescent="0.25">
      <c r="A117" s="51"/>
      <c r="B117" s="51"/>
      <c r="C117" s="51"/>
      <c r="D117" s="176"/>
      <c r="E117" s="176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</row>
    <row r="118" spans="1:30" x14ac:dyDescent="0.25">
      <c r="A118" s="51"/>
      <c r="B118" s="51"/>
      <c r="C118" s="51"/>
      <c r="D118" s="176"/>
      <c r="E118" s="176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1"/>
    </row>
    <row r="119" spans="1:30" x14ac:dyDescent="0.25">
      <c r="A119" s="51"/>
      <c r="B119" s="51"/>
      <c r="C119" s="51"/>
      <c r="D119" s="176"/>
      <c r="E119" s="176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1"/>
    </row>
    <row r="120" spans="1:30" x14ac:dyDescent="0.25">
      <c r="A120" s="51"/>
      <c r="B120" s="51"/>
      <c r="C120" s="51"/>
      <c r="D120" s="176"/>
      <c r="E120" s="176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</row>
    <row r="121" spans="1:30" x14ac:dyDescent="0.25">
      <c r="A121" s="51"/>
      <c r="B121" s="51"/>
      <c r="C121" s="51"/>
      <c r="D121" s="176"/>
      <c r="E121" s="176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51"/>
      <c r="AC121" s="51"/>
      <c r="AD121" s="51"/>
    </row>
    <row r="122" spans="1:30" x14ac:dyDescent="0.25">
      <c r="A122" s="51"/>
      <c r="B122" s="51"/>
      <c r="C122" s="51"/>
      <c r="D122" s="176"/>
      <c r="E122" s="176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  <c r="AA122" s="51"/>
      <c r="AB122" s="51"/>
      <c r="AC122" s="51"/>
      <c r="AD122" s="51"/>
    </row>
    <row r="123" spans="1:30" x14ac:dyDescent="0.25">
      <c r="A123" s="51"/>
      <c r="B123" s="51"/>
      <c r="C123" s="51"/>
      <c r="D123" s="176"/>
      <c r="E123" s="176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</row>
    <row r="124" spans="1:30" x14ac:dyDescent="0.25">
      <c r="A124" s="51"/>
      <c r="B124" s="51"/>
      <c r="C124" s="51"/>
      <c r="D124" s="176"/>
      <c r="E124" s="176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51"/>
      <c r="AC124" s="51"/>
      <c r="AD124" s="51"/>
    </row>
    <row r="125" spans="1:30" x14ac:dyDescent="0.25">
      <c r="A125" s="51"/>
      <c r="B125" s="51"/>
      <c r="C125" s="51"/>
      <c r="D125" s="176"/>
      <c r="E125" s="176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1"/>
    </row>
    <row r="126" spans="1:30" x14ac:dyDescent="0.25">
      <c r="A126" s="51"/>
      <c r="B126" s="51"/>
      <c r="C126" s="51"/>
      <c r="D126" s="176"/>
      <c r="E126" s="176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1"/>
    </row>
    <row r="127" spans="1:30" x14ac:dyDescent="0.25">
      <c r="A127" s="51"/>
      <c r="B127" s="51"/>
      <c r="C127" s="51"/>
      <c r="D127" s="176"/>
      <c r="E127" s="176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51"/>
      <c r="AC127" s="51"/>
      <c r="AD127" s="51"/>
    </row>
    <row r="128" spans="1:30" x14ac:dyDescent="0.25">
      <c r="A128" s="51"/>
      <c r="B128" s="51"/>
      <c r="C128" s="51"/>
      <c r="D128" s="176"/>
      <c r="E128" s="176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1"/>
    </row>
    <row r="129" spans="1:30" x14ac:dyDescent="0.25">
      <c r="A129" s="51"/>
      <c r="B129" s="51"/>
      <c r="C129" s="51"/>
      <c r="D129" s="176"/>
      <c r="E129" s="176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  <c r="Z129" s="51"/>
      <c r="AA129" s="51"/>
      <c r="AB129" s="51"/>
      <c r="AC129" s="51"/>
      <c r="AD129" s="51"/>
    </row>
    <row r="130" spans="1:30" x14ac:dyDescent="0.25">
      <c r="A130" s="51"/>
      <c r="B130" s="51"/>
      <c r="C130" s="51"/>
      <c r="D130" s="176"/>
      <c r="E130" s="176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</row>
    <row r="131" spans="1:30" x14ac:dyDescent="0.25">
      <c r="A131" s="51"/>
      <c r="B131" s="51"/>
      <c r="C131" s="51"/>
      <c r="D131" s="176"/>
      <c r="E131" s="176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</row>
    <row r="132" spans="1:30" x14ac:dyDescent="0.25">
      <c r="A132" s="51"/>
      <c r="B132" s="51"/>
      <c r="C132" s="51"/>
      <c r="D132" s="176"/>
      <c r="E132" s="176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</row>
    <row r="133" spans="1:30" x14ac:dyDescent="0.25">
      <c r="A133" s="51"/>
      <c r="B133" s="51"/>
      <c r="C133" s="51"/>
      <c r="D133" s="176"/>
      <c r="E133" s="176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51"/>
      <c r="AC133" s="51"/>
      <c r="AD133" s="51"/>
    </row>
    <row r="134" spans="1:30" x14ac:dyDescent="0.25">
      <c r="A134" s="51"/>
      <c r="B134" s="51"/>
      <c r="C134" s="51"/>
      <c r="D134" s="176"/>
      <c r="E134" s="176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51"/>
      <c r="AC134" s="51"/>
      <c r="AD134" s="51"/>
    </row>
    <row r="135" spans="1:30" x14ac:dyDescent="0.25">
      <c r="A135" s="51"/>
      <c r="B135" s="51"/>
      <c r="C135" s="51"/>
      <c r="D135" s="176"/>
      <c r="E135" s="176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</row>
    <row r="136" spans="1:30" x14ac:dyDescent="0.25">
      <c r="A136" s="51"/>
      <c r="B136" s="51"/>
      <c r="C136" s="51"/>
      <c r="D136" s="176"/>
      <c r="E136" s="176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51"/>
      <c r="AC136" s="51"/>
      <c r="AD136" s="51"/>
    </row>
    <row r="137" spans="1:30" x14ac:dyDescent="0.25">
      <c r="A137" s="51"/>
      <c r="B137" s="51"/>
      <c r="C137" s="51"/>
      <c r="D137" s="176"/>
      <c r="E137" s="176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51"/>
      <c r="AC137" s="51"/>
      <c r="AD137" s="51"/>
    </row>
    <row r="138" spans="1:30" x14ac:dyDescent="0.25">
      <c r="A138" s="51"/>
      <c r="B138" s="51"/>
      <c r="C138" s="51"/>
      <c r="D138" s="176"/>
      <c r="E138" s="176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</row>
    <row r="139" spans="1:30" x14ac:dyDescent="0.25">
      <c r="A139" s="51"/>
      <c r="B139" s="51"/>
      <c r="C139" s="51"/>
      <c r="D139" s="176"/>
      <c r="E139" s="176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/>
      <c r="AA139" s="51"/>
      <c r="AB139" s="51"/>
      <c r="AC139" s="51"/>
      <c r="AD139" s="51"/>
    </row>
    <row r="140" spans="1:30" x14ac:dyDescent="0.25">
      <c r="A140" s="51"/>
      <c r="B140" s="51"/>
      <c r="C140" s="51"/>
      <c r="D140" s="176"/>
      <c r="E140" s="176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Y140" s="51"/>
      <c r="Z140" s="51"/>
      <c r="AA140" s="51"/>
      <c r="AB140" s="51"/>
      <c r="AC140" s="51"/>
      <c r="AD140" s="51"/>
    </row>
    <row r="141" spans="1:30" x14ac:dyDescent="0.25">
      <c r="A141" s="51"/>
      <c r="B141" s="51"/>
      <c r="C141" s="51"/>
      <c r="D141" s="176"/>
      <c r="E141" s="176"/>
      <c r="F141" s="51"/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  <c r="Z141" s="51"/>
      <c r="AA141" s="51"/>
      <c r="AB141" s="51"/>
      <c r="AC141" s="51"/>
      <c r="AD141" s="51"/>
    </row>
    <row r="142" spans="1:30" x14ac:dyDescent="0.25">
      <c r="A142" s="51"/>
      <c r="B142" s="51"/>
      <c r="C142" s="51"/>
      <c r="D142" s="176"/>
      <c r="E142" s="176"/>
      <c r="F142" s="51"/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1"/>
      <c r="Y142" s="51"/>
      <c r="Z142" s="51"/>
      <c r="AA142" s="51"/>
      <c r="AB142" s="51"/>
      <c r="AC142" s="51"/>
      <c r="AD142" s="51"/>
    </row>
    <row r="143" spans="1:30" x14ac:dyDescent="0.25">
      <c r="A143" s="51"/>
      <c r="B143" s="51"/>
      <c r="C143" s="51"/>
      <c r="D143" s="176"/>
      <c r="E143" s="176"/>
      <c r="F143" s="51"/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  <c r="Y143" s="51"/>
      <c r="Z143" s="51"/>
      <c r="AA143" s="51"/>
      <c r="AB143" s="51"/>
      <c r="AC143" s="51"/>
      <c r="AD143" s="51"/>
    </row>
    <row r="144" spans="1:30" x14ac:dyDescent="0.25">
      <c r="A144" s="51"/>
      <c r="B144" s="51"/>
      <c r="C144" s="51"/>
      <c r="D144" s="176"/>
      <c r="E144" s="176"/>
      <c r="F144" s="51"/>
      <c r="G144" s="51"/>
      <c r="H144" s="51"/>
      <c r="I144" s="51"/>
      <c r="J144" s="51"/>
      <c r="K144" s="51"/>
      <c r="L144" s="51"/>
      <c r="M144" s="51"/>
      <c r="N144" s="51"/>
      <c r="O144" s="51"/>
      <c r="P144" s="51"/>
      <c r="Q144" s="51"/>
      <c r="R144" s="51"/>
      <c r="S144" s="51"/>
      <c r="T144" s="51"/>
      <c r="U144" s="51"/>
      <c r="V144" s="51"/>
      <c r="W144" s="51"/>
      <c r="X144" s="51"/>
      <c r="Y144" s="51"/>
      <c r="Z144" s="51"/>
      <c r="AA144" s="51"/>
      <c r="AB144" s="51"/>
      <c r="AC144" s="51"/>
      <c r="AD144" s="51"/>
    </row>
    <row r="145" spans="1:30" x14ac:dyDescent="0.25">
      <c r="A145" s="51"/>
      <c r="B145" s="51"/>
      <c r="C145" s="51"/>
      <c r="D145" s="176"/>
      <c r="E145" s="176"/>
      <c r="F145" s="51"/>
      <c r="G145" s="51"/>
      <c r="H145" s="51"/>
      <c r="I145" s="51"/>
      <c r="J145" s="51"/>
      <c r="K145" s="51"/>
      <c r="L145" s="51"/>
      <c r="M145" s="51"/>
      <c r="N145" s="51"/>
      <c r="O145" s="51"/>
      <c r="P145" s="51"/>
      <c r="Q145" s="51"/>
      <c r="R145" s="51"/>
      <c r="S145" s="51"/>
      <c r="T145" s="51"/>
      <c r="U145" s="51"/>
      <c r="V145" s="51"/>
      <c r="W145" s="51"/>
      <c r="X145" s="51"/>
      <c r="Y145" s="51"/>
      <c r="Z145" s="51"/>
      <c r="AA145" s="51"/>
      <c r="AB145" s="51"/>
      <c r="AC145" s="51"/>
      <c r="AD145" s="51"/>
    </row>
    <row r="146" spans="1:30" x14ac:dyDescent="0.25">
      <c r="A146" s="51"/>
      <c r="B146" s="51"/>
      <c r="C146" s="51"/>
      <c r="D146" s="176"/>
      <c r="E146" s="176"/>
      <c r="F146" s="51"/>
      <c r="G146" s="51"/>
      <c r="H146" s="51"/>
      <c r="I146" s="51"/>
      <c r="J146" s="51"/>
      <c r="K146" s="51"/>
      <c r="L146" s="51"/>
      <c r="M146" s="51"/>
      <c r="N146" s="51"/>
      <c r="O146" s="51"/>
      <c r="P146" s="51"/>
      <c r="Q146" s="51"/>
      <c r="R146" s="51"/>
      <c r="S146" s="51"/>
      <c r="T146" s="51"/>
      <c r="U146" s="51"/>
      <c r="V146" s="51"/>
      <c r="W146" s="51"/>
      <c r="X146" s="51"/>
      <c r="Y146" s="51"/>
      <c r="Z146" s="51"/>
      <c r="AA146" s="51"/>
      <c r="AB146" s="51"/>
      <c r="AC146" s="51"/>
      <c r="AD146" s="51"/>
    </row>
    <row r="147" spans="1:30" x14ac:dyDescent="0.25">
      <c r="A147" s="51"/>
      <c r="B147" s="51"/>
      <c r="C147" s="51"/>
      <c r="D147" s="176"/>
      <c r="E147" s="176"/>
      <c r="F147" s="51"/>
      <c r="G147" s="51"/>
      <c r="H147" s="51"/>
      <c r="I147" s="51"/>
      <c r="J147" s="51"/>
      <c r="K147" s="51"/>
      <c r="L147" s="51"/>
      <c r="M147" s="51"/>
      <c r="N147" s="51"/>
      <c r="O147" s="51"/>
      <c r="P147" s="51"/>
      <c r="Q147" s="51"/>
      <c r="R147" s="51"/>
      <c r="S147" s="51"/>
      <c r="T147" s="51"/>
      <c r="U147" s="51"/>
      <c r="V147" s="51"/>
      <c r="W147" s="51"/>
      <c r="X147" s="51"/>
      <c r="Y147" s="51"/>
      <c r="Z147" s="51"/>
      <c r="AA147" s="51"/>
      <c r="AB147" s="51"/>
      <c r="AC147" s="51"/>
      <c r="AD147" s="51"/>
    </row>
    <row r="148" spans="1:30" x14ac:dyDescent="0.25">
      <c r="A148" s="51"/>
      <c r="B148" s="51"/>
      <c r="C148" s="51"/>
      <c r="D148" s="176"/>
      <c r="E148" s="176"/>
      <c r="F148" s="51"/>
      <c r="G148" s="51"/>
      <c r="H148" s="51"/>
      <c r="I148" s="51"/>
      <c r="J148" s="51"/>
      <c r="K148" s="51"/>
      <c r="L148" s="51"/>
      <c r="M148" s="51"/>
      <c r="N148" s="51"/>
      <c r="O148" s="51"/>
      <c r="P148" s="51"/>
      <c r="Q148" s="51"/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</row>
    <row r="149" spans="1:30" x14ac:dyDescent="0.25">
      <c r="A149" s="51"/>
      <c r="B149" s="51"/>
      <c r="C149" s="51"/>
      <c r="D149" s="210"/>
      <c r="E149" s="210"/>
      <c r="F149" s="51"/>
      <c r="G149" s="51"/>
      <c r="H149" s="51"/>
      <c r="I149" s="51"/>
      <c r="J149" s="51"/>
      <c r="K149" s="51"/>
      <c r="L149" s="51"/>
      <c r="M149" s="51"/>
      <c r="N149" s="51"/>
      <c r="O149" s="51"/>
      <c r="P149" s="51"/>
      <c r="Q149" s="51"/>
      <c r="R149" s="51"/>
      <c r="S149" s="51"/>
      <c r="T149" s="51"/>
      <c r="U149" s="51"/>
      <c r="V149" s="51"/>
      <c r="W149" s="51"/>
      <c r="X149" s="51"/>
      <c r="Y149" s="51"/>
      <c r="Z149" s="51"/>
      <c r="AA149" s="51"/>
      <c r="AB149" s="51"/>
      <c r="AC149" s="51"/>
      <c r="AD149" s="51"/>
    </row>
    <row r="150" spans="1:30" x14ac:dyDescent="0.25">
      <c r="A150" s="51"/>
      <c r="B150" s="51"/>
      <c r="C150" s="51"/>
      <c r="D150" s="210"/>
      <c r="E150" s="210"/>
      <c r="F150" s="51"/>
      <c r="G150" s="51"/>
      <c r="H150" s="51"/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</row>
    <row r="151" spans="1:30" x14ac:dyDescent="0.25">
      <c r="A151" s="51"/>
      <c r="B151" s="51"/>
      <c r="C151" s="51"/>
      <c r="D151" s="210"/>
      <c r="E151" s="210"/>
      <c r="F151" s="51"/>
      <c r="G151" s="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1"/>
      <c r="S151" s="51"/>
      <c r="T151" s="51"/>
      <c r="U151" s="51"/>
      <c r="V151" s="51"/>
      <c r="W151" s="51"/>
      <c r="X151" s="51"/>
      <c r="Y151" s="51"/>
      <c r="Z151" s="51"/>
      <c r="AA151" s="51"/>
      <c r="AB151" s="51"/>
      <c r="AC151" s="51"/>
      <c r="AD151" s="51"/>
    </row>
    <row r="152" spans="1:30" x14ac:dyDescent="0.25">
      <c r="A152" s="51"/>
      <c r="B152" s="51"/>
      <c r="C152" s="51"/>
      <c r="D152" s="210"/>
      <c r="E152" s="210"/>
      <c r="F152" s="51"/>
      <c r="G152" s="51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1"/>
      <c r="S152" s="51"/>
      <c r="T152" s="51"/>
      <c r="U152" s="51"/>
      <c r="V152" s="51"/>
      <c r="W152" s="51"/>
      <c r="X152" s="51"/>
      <c r="Y152" s="51"/>
      <c r="Z152" s="51"/>
      <c r="AA152" s="51"/>
      <c r="AB152" s="51"/>
      <c r="AC152" s="51"/>
      <c r="AD152" s="51"/>
    </row>
    <row r="153" spans="1:30" x14ac:dyDescent="0.25">
      <c r="A153" s="51"/>
      <c r="B153" s="51"/>
      <c r="C153" s="51"/>
      <c r="D153" s="210"/>
      <c r="E153" s="210"/>
      <c r="F153" s="51"/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</row>
    <row r="154" spans="1:30" x14ac:dyDescent="0.25">
      <c r="A154" s="51"/>
      <c r="B154" s="51"/>
      <c r="C154" s="51"/>
      <c r="D154" s="210"/>
      <c r="E154" s="210"/>
      <c r="F154" s="51"/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  <c r="S154" s="51"/>
      <c r="T154" s="51"/>
      <c r="U154" s="51"/>
      <c r="V154" s="51"/>
      <c r="W154" s="51"/>
      <c r="X154" s="51"/>
      <c r="Y154" s="51"/>
      <c r="Z154" s="51"/>
      <c r="AA154" s="51"/>
      <c r="AB154" s="51"/>
      <c r="AC154" s="51"/>
      <c r="AD154" s="51"/>
    </row>
    <row r="155" spans="1:30" x14ac:dyDescent="0.25">
      <c r="A155" s="51"/>
      <c r="B155" s="51"/>
      <c r="C155" s="51"/>
      <c r="D155" s="210"/>
      <c r="E155" s="210"/>
      <c r="F155" s="51"/>
      <c r="G155" s="51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  <c r="S155" s="51"/>
      <c r="T155" s="51"/>
      <c r="U155" s="51"/>
      <c r="V155" s="51"/>
      <c r="W155" s="51"/>
      <c r="X155" s="51"/>
      <c r="Y155" s="51"/>
      <c r="Z155" s="51"/>
      <c r="AA155" s="51"/>
      <c r="AB155" s="51"/>
      <c r="AC155" s="51"/>
      <c r="AD155" s="51"/>
    </row>
    <row r="156" spans="1:30" x14ac:dyDescent="0.25">
      <c r="A156" s="51"/>
      <c r="B156" s="51"/>
      <c r="C156" s="51"/>
      <c r="D156" s="210"/>
      <c r="E156" s="210"/>
      <c r="F156" s="51"/>
      <c r="G156" s="51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</row>
    <row r="157" spans="1:30" x14ac:dyDescent="0.25">
      <c r="A157" s="51"/>
      <c r="B157" s="51"/>
      <c r="C157" s="51"/>
      <c r="D157" s="210"/>
      <c r="E157" s="210"/>
      <c r="F157" s="51"/>
      <c r="G157" s="51"/>
      <c r="H157" s="51"/>
      <c r="I157" s="51"/>
      <c r="J157" s="51"/>
      <c r="K157" s="51"/>
      <c r="L157" s="51"/>
      <c r="M157" s="51"/>
      <c r="N157" s="51"/>
      <c r="O157" s="51"/>
      <c r="P157" s="51"/>
      <c r="Q157" s="51"/>
      <c r="R157" s="51"/>
      <c r="S157" s="51"/>
      <c r="T157" s="51"/>
      <c r="U157" s="51"/>
      <c r="V157" s="51"/>
      <c r="W157" s="51"/>
      <c r="X157" s="51"/>
      <c r="Y157" s="51"/>
      <c r="Z157" s="51"/>
      <c r="AA157" s="51"/>
      <c r="AB157" s="51"/>
      <c r="AC157" s="51"/>
      <c r="AD157" s="51"/>
    </row>
    <row r="158" spans="1:30" x14ac:dyDescent="0.25">
      <c r="A158" s="51"/>
      <c r="B158" s="51"/>
      <c r="C158" s="51"/>
      <c r="D158" s="210"/>
      <c r="E158" s="210"/>
      <c r="F158" s="51"/>
      <c r="G158" s="51"/>
      <c r="H158" s="51"/>
      <c r="I158" s="51"/>
      <c r="J158" s="51"/>
      <c r="K158" s="51"/>
      <c r="L158" s="51"/>
      <c r="M158" s="51"/>
      <c r="N158" s="51"/>
      <c r="O158" s="51"/>
      <c r="P158" s="51"/>
      <c r="Q158" s="51"/>
      <c r="R158" s="51"/>
      <c r="S158" s="51"/>
      <c r="T158" s="51"/>
      <c r="U158" s="51"/>
      <c r="V158" s="51"/>
      <c r="W158" s="51"/>
      <c r="X158" s="51"/>
      <c r="Y158" s="51"/>
      <c r="Z158" s="51"/>
      <c r="AA158" s="51"/>
      <c r="AB158" s="51"/>
      <c r="AC158" s="51"/>
      <c r="AD158" s="51"/>
    </row>
    <row r="159" spans="1:30" x14ac:dyDescent="0.25">
      <c r="A159" s="51"/>
      <c r="B159" s="51"/>
      <c r="C159" s="51"/>
      <c r="D159" s="210"/>
      <c r="E159" s="210"/>
      <c r="F159" s="51"/>
      <c r="G159" s="51"/>
      <c r="H159" s="51"/>
      <c r="I159" s="51"/>
      <c r="J159" s="51"/>
      <c r="K159" s="51"/>
      <c r="L159" s="51"/>
      <c r="M159" s="51"/>
      <c r="N159" s="51"/>
      <c r="O159" s="51"/>
      <c r="P159" s="51"/>
      <c r="Q159" s="51"/>
      <c r="R159" s="51"/>
      <c r="S159" s="51"/>
      <c r="T159" s="51"/>
      <c r="U159" s="51"/>
      <c r="V159" s="51"/>
      <c r="W159" s="51"/>
      <c r="X159" s="51"/>
      <c r="Y159" s="51"/>
      <c r="Z159" s="51"/>
      <c r="AA159" s="51"/>
      <c r="AB159" s="51"/>
      <c r="AC159" s="51"/>
      <c r="AD159" s="51"/>
    </row>
    <row r="160" spans="1:30" x14ac:dyDescent="0.25">
      <c r="A160" s="51"/>
      <c r="B160" s="51"/>
      <c r="C160" s="51"/>
      <c r="D160" s="210"/>
      <c r="E160" s="210"/>
      <c r="F160" s="51"/>
      <c r="G160" s="51"/>
      <c r="H160" s="51"/>
      <c r="I160" s="51"/>
      <c r="J160" s="51"/>
      <c r="K160" s="51"/>
      <c r="L160" s="51"/>
      <c r="M160" s="51"/>
      <c r="N160" s="51"/>
      <c r="O160" s="51"/>
      <c r="P160" s="51"/>
      <c r="Q160" s="51"/>
      <c r="R160" s="51"/>
      <c r="S160" s="51"/>
      <c r="T160" s="51"/>
      <c r="U160" s="51"/>
      <c r="V160" s="51"/>
      <c r="W160" s="51"/>
      <c r="X160" s="51"/>
      <c r="Y160" s="51"/>
      <c r="Z160" s="51"/>
      <c r="AA160" s="51"/>
      <c r="AB160" s="51"/>
      <c r="AC160" s="51"/>
      <c r="AD160" s="51"/>
    </row>
    <row r="161" spans="1:30" x14ac:dyDescent="0.25">
      <c r="A161" s="51"/>
      <c r="B161" s="51"/>
      <c r="C161" s="51"/>
      <c r="D161" s="210"/>
      <c r="E161" s="210"/>
      <c r="F161" s="51"/>
      <c r="G161" s="5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  <c r="S161" s="51"/>
      <c r="T161" s="51"/>
      <c r="U161" s="51"/>
      <c r="V161" s="51"/>
      <c r="W161" s="51"/>
      <c r="X161" s="51"/>
      <c r="Y161" s="51"/>
      <c r="Z161" s="51"/>
      <c r="AA161" s="51"/>
      <c r="AB161" s="51"/>
      <c r="AC161" s="51"/>
      <c r="AD161" s="51"/>
    </row>
    <row r="162" spans="1:30" x14ac:dyDescent="0.25">
      <c r="A162" s="51"/>
      <c r="B162" s="51"/>
      <c r="C162" s="51"/>
      <c r="D162" s="210"/>
      <c r="E162" s="210"/>
      <c r="F162" s="51"/>
      <c r="G162" s="51"/>
      <c r="H162" s="51"/>
      <c r="I162" s="51"/>
      <c r="J162" s="51"/>
      <c r="K162" s="51"/>
      <c r="L162" s="51"/>
      <c r="M162" s="51"/>
      <c r="N162" s="51"/>
      <c r="O162" s="51"/>
      <c r="P162" s="51"/>
      <c r="Q162" s="51"/>
      <c r="R162" s="51"/>
      <c r="S162" s="51"/>
      <c r="T162" s="51"/>
      <c r="U162" s="51"/>
      <c r="V162" s="51"/>
      <c r="W162" s="51"/>
      <c r="X162" s="51"/>
      <c r="Y162" s="51"/>
      <c r="Z162" s="51"/>
      <c r="AA162" s="51"/>
      <c r="AB162" s="51"/>
      <c r="AC162" s="51"/>
      <c r="AD162" s="51"/>
    </row>
    <row r="163" spans="1:30" x14ac:dyDescent="0.25">
      <c r="A163" s="51"/>
      <c r="B163" s="51"/>
      <c r="C163" s="51"/>
      <c r="D163" s="210"/>
      <c r="E163" s="210"/>
      <c r="F163" s="51"/>
      <c r="G163" s="51"/>
      <c r="H163" s="51"/>
      <c r="I163" s="51"/>
      <c r="J163" s="51"/>
      <c r="K163" s="51"/>
      <c r="L163" s="51"/>
      <c r="M163" s="51"/>
      <c r="N163" s="51"/>
      <c r="O163" s="51"/>
      <c r="P163" s="51"/>
      <c r="Q163" s="51"/>
      <c r="R163" s="51"/>
      <c r="S163" s="51"/>
      <c r="T163" s="51"/>
      <c r="U163" s="51"/>
      <c r="V163" s="51"/>
      <c r="W163" s="51"/>
      <c r="X163" s="51"/>
      <c r="Y163" s="51"/>
      <c r="Z163" s="51"/>
      <c r="AA163" s="51"/>
      <c r="AB163" s="51"/>
      <c r="AC163" s="51"/>
      <c r="AD163" s="51"/>
    </row>
    <row r="164" spans="1:30" x14ac:dyDescent="0.25">
      <c r="A164" s="51"/>
      <c r="B164" s="51"/>
      <c r="C164" s="51"/>
      <c r="D164" s="210"/>
      <c r="E164" s="210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  <c r="S164" s="51"/>
      <c r="T164" s="51"/>
      <c r="U164" s="51"/>
      <c r="V164" s="51"/>
      <c r="W164" s="51"/>
      <c r="X164" s="51"/>
      <c r="Y164" s="51"/>
      <c r="Z164" s="51"/>
      <c r="AA164" s="51"/>
      <c r="AB164" s="51"/>
      <c r="AC164" s="51"/>
      <c r="AD164" s="51"/>
    </row>
    <row r="165" spans="1:30" x14ac:dyDescent="0.25">
      <c r="A165" s="51"/>
      <c r="B165" s="51"/>
      <c r="C165" s="51"/>
      <c r="D165" s="210"/>
      <c r="E165" s="210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  <c r="S165" s="51"/>
      <c r="T165" s="51"/>
      <c r="U165" s="51"/>
      <c r="V165" s="51"/>
      <c r="W165" s="51"/>
      <c r="X165" s="51"/>
      <c r="Y165" s="51"/>
      <c r="Z165" s="51"/>
      <c r="AA165" s="51"/>
      <c r="AB165" s="51"/>
      <c r="AC165" s="51"/>
      <c r="AD165" s="51"/>
    </row>
    <row r="166" spans="1:30" x14ac:dyDescent="0.25">
      <c r="A166" s="51"/>
      <c r="B166" s="51"/>
      <c r="C166" s="51"/>
      <c r="D166" s="210"/>
      <c r="E166" s="210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  <c r="S166" s="51"/>
      <c r="T166" s="51"/>
      <c r="U166" s="51"/>
      <c r="V166" s="51"/>
      <c r="W166" s="51"/>
      <c r="X166" s="51"/>
      <c r="Y166" s="51"/>
      <c r="Z166" s="51"/>
      <c r="AA166" s="51"/>
      <c r="AB166" s="51"/>
      <c r="AC166" s="51"/>
      <c r="AD166" s="51"/>
    </row>
    <row r="167" spans="1:30" x14ac:dyDescent="0.25">
      <c r="A167" s="51"/>
      <c r="B167" s="51"/>
      <c r="C167" s="51"/>
      <c r="D167" s="210"/>
      <c r="E167" s="210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  <c r="S167" s="51"/>
      <c r="T167" s="51"/>
      <c r="U167" s="51"/>
      <c r="V167" s="51"/>
      <c r="W167" s="51"/>
      <c r="X167" s="51"/>
      <c r="Y167" s="51"/>
      <c r="Z167" s="51"/>
      <c r="AA167" s="51"/>
      <c r="AB167" s="51"/>
      <c r="AC167" s="51"/>
      <c r="AD167" s="51"/>
    </row>
    <row r="168" spans="1:30" x14ac:dyDescent="0.25">
      <c r="A168" s="51"/>
      <c r="B168" s="51"/>
      <c r="C168" s="51"/>
      <c r="D168" s="210"/>
      <c r="E168" s="210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  <c r="S168" s="51"/>
      <c r="T168" s="51"/>
      <c r="U168" s="51"/>
      <c r="V168" s="51"/>
      <c r="W168" s="51"/>
      <c r="X168" s="51"/>
      <c r="Y168" s="51"/>
      <c r="Z168" s="51"/>
      <c r="AA168" s="51"/>
      <c r="AB168" s="51"/>
      <c r="AC168" s="51"/>
      <c r="AD168" s="51"/>
    </row>
    <row r="169" spans="1:30" x14ac:dyDescent="0.25">
      <c r="A169" s="51"/>
      <c r="B169" s="51"/>
      <c r="C169" s="51"/>
      <c r="D169" s="210"/>
      <c r="E169" s="210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  <c r="S169" s="51"/>
      <c r="T169" s="51"/>
      <c r="U169" s="51"/>
      <c r="V169" s="51"/>
      <c r="W169" s="51"/>
      <c r="X169" s="51"/>
      <c r="Y169" s="51"/>
      <c r="Z169" s="51"/>
      <c r="AA169" s="51"/>
      <c r="AB169" s="51"/>
      <c r="AC169" s="51"/>
      <c r="AD169" s="51"/>
    </row>
    <row r="170" spans="1:30" x14ac:dyDescent="0.25">
      <c r="A170" s="51"/>
      <c r="B170" s="51"/>
      <c r="C170" s="51"/>
      <c r="D170" s="210"/>
      <c r="E170" s="210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  <c r="S170" s="51"/>
      <c r="T170" s="51"/>
      <c r="U170" s="51"/>
      <c r="V170" s="51"/>
      <c r="W170" s="51"/>
      <c r="X170" s="51"/>
      <c r="Y170" s="51"/>
      <c r="Z170" s="51"/>
      <c r="AA170" s="51"/>
      <c r="AB170" s="51"/>
      <c r="AC170" s="51"/>
      <c r="AD170" s="51"/>
    </row>
    <row r="171" spans="1:30" x14ac:dyDescent="0.25">
      <c r="A171" s="51"/>
      <c r="B171" s="51"/>
      <c r="C171" s="51"/>
      <c r="D171" s="210"/>
      <c r="E171" s="210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  <c r="S171" s="51"/>
      <c r="T171" s="51"/>
      <c r="U171" s="51"/>
      <c r="V171" s="51"/>
      <c r="W171" s="51"/>
      <c r="X171" s="51"/>
      <c r="Y171" s="51"/>
      <c r="Z171" s="51"/>
      <c r="AA171" s="51"/>
      <c r="AB171" s="51"/>
      <c r="AC171" s="51"/>
      <c r="AD171" s="51"/>
    </row>
    <row r="172" spans="1:30" x14ac:dyDescent="0.25">
      <c r="A172" s="51"/>
      <c r="B172" s="51"/>
      <c r="C172" s="51"/>
      <c r="D172" s="210"/>
      <c r="E172" s="210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</row>
    <row r="173" spans="1:30" x14ac:dyDescent="0.25">
      <c r="A173" s="51"/>
      <c r="B173" s="51"/>
      <c r="C173" s="51"/>
      <c r="D173" s="210"/>
      <c r="E173" s="210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  <c r="S173" s="51"/>
      <c r="T173" s="51"/>
      <c r="U173" s="51"/>
      <c r="V173" s="51"/>
      <c r="W173" s="51"/>
      <c r="X173" s="51"/>
      <c r="Y173" s="51"/>
      <c r="Z173" s="51"/>
      <c r="AA173" s="51"/>
      <c r="AB173" s="51"/>
      <c r="AC173" s="51"/>
      <c r="AD173" s="51"/>
    </row>
    <row r="174" spans="1:30" x14ac:dyDescent="0.25">
      <c r="A174" s="51"/>
      <c r="B174" s="51"/>
      <c r="C174" s="51"/>
      <c r="D174" s="210"/>
      <c r="E174" s="210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  <c r="S174" s="51"/>
      <c r="T174" s="51"/>
      <c r="U174" s="51"/>
      <c r="V174" s="51"/>
      <c r="W174" s="51"/>
      <c r="X174" s="51"/>
      <c r="Y174" s="51"/>
      <c r="Z174" s="51"/>
      <c r="AA174" s="51"/>
      <c r="AB174" s="51"/>
      <c r="AC174" s="51"/>
      <c r="AD174" s="51"/>
    </row>
    <row r="175" spans="1:30" x14ac:dyDescent="0.25">
      <c r="A175" s="51"/>
      <c r="B175" s="51"/>
      <c r="C175" s="51"/>
      <c r="D175" s="210"/>
      <c r="E175" s="210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</row>
    <row r="176" spans="1:30" x14ac:dyDescent="0.25">
      <c r="A176" s="51"/>
      <c r="B176" s="51"/>
      <c r="C176" s="51"/>
      <c r="D176" s="210"/>
      <c r="E176" s="210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  <c r="S176" s="51"/>
      <c r="T176" s="51"/>
      <c r="U176" s="51"/>
      <c r="V176" s="51"/>
      <c r="W176" s="51"/>
      <c r="X176" s="51"/>
      <c r="Y176" s="51"/>
      <c r="Z176" s="51"/>
      <c r="AA176" s="51"/>
      <c r="AB176" s="51"/>
      <c r="AC176" s="51"/>
      <c r="AD176" s="51"/>
    </row>
    <row r="177" spans="1:30" x14ac:dyDescent="0.25">
      <c r="A177" s="51"/>
      <c r="B177" s="51"/>
      <c r="C177" s="51"/>
      <c r="D177" s="210"/>
      <c r="E177" s="210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  <c r="S177" s="51"/>
      <c r="T177" s="51"/>
      <c r="U177" s="51"/>
      <c r="V177" s="51"/>
      <c r="W177" s="51"/>
      <c r="X177" s="51"/>
      <c r="Y177" s="51"/>
      <c r="Z177" s="51"/>
      <c r="AA177" s="51"/>
      <c r="AB177" s="51"/>
      <c r="AC177" s="51"/>
      <c r="AD177" s="51"/>
    </row>
    <row r="178" spans="1:30" x14ac:dyDescent="0.25">
      <c r="A178" s="51"/>
      <c r="B178" s="51"/>
      <c r="C178" s="51"/>
      <c r="D178" s="210"/>
      <c r="E178" s="210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</row>
    <row r="179" spans="1:30" x14ac:dyDescent="0.25">
      <c r="A179" s="51"/>
      <c r="B179" s="51"/>
      <c r="C179" s="51"/>
      <c r="D179" s="210"/>
      <c r="E179" s="210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  <c r="S179" s="51"/>
      <c r="T179" s="51"/>
      <c r="U179" s="51"/>
      <c r="V179" s="51"/>
      <c r="W179" s="51"/>
      <c r="X179" s="51"/>
      <c r="Y179" s="51"/>
      <c r="Z179" s="51"/>
      <c r="AA179" s="51"/>
      <c r="AB179" s="51"/>
      <c r="AC179" s="51"/>
      <c r="AD179" s="51"/>
    </row>
    <row r="180" spans="1:30" x14ac:dyDescent="0.25">
      <c r="A180" s="51"/>
      <c r="B180" s="51"/>
      <c r="C180" s="51"/>
      <c r="D180" s="210"/>
      <c r="E180" s="210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  <c r="S180" s="51"/>
      <c r="T180" s="51"/>
      <c r="U180" s="51"/>
      <c r="V180" s="51"/>
      <c r="W180" s="51"/>
      <c r="X180" s="51"/>
      <c r="Y180" s="51"/>
      <c r="Z180" s="51"/>
      <c r="AA180" s="51"/>
      <c r="AB180" s="51"/>
      <c r="AC180" s="51"/>
      <c r="AD180" s="51"/>
    </row>
    <row r="181" spans="1:30" x14ac:dyDescent="0.25">
      <c r="A181" s="51"/>
      <c r="B181" s="51"/>
      <c r="C181" s="51"/>
      <c r="D181" s="210"/>
      <c r="E181" s="210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  <c r="S181" s="51"/>
      <c r="T181" s="51"/>
      <c r="U181" s="51"/>
      <c r="V181" s="51"/>
      <c r="W181" s="51"/>
      <c r="X181" s="51"/>
      <c r="Y181" s="51"/>
      <c r="Z181" s="51"/>
      <c r="AA181" s="51"/>
      <c r="AB181" s="51"/>
      <c r="AC181" s="51"/>
      <c r="AD181" s="51"/>
    </row>
    <row r="182" spans="1:30" x14ac:dyDescent="0.25">
      <c r="A182" s="51"/>
      <c r="B182" s="51"/>
      <c r="C182" s="51"/>
      <c r="D182" s="210"/>
      <c r="E182" s="210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  <c r="S182" s="51"/>
      <c r="T182" s="51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</row>
    <row r="183" spans="1:30" x14ac:dyDescent="0.25">
      <c r="A183" s="51"/>
      <c r="B183" s="51"/>
      <c r="C183" s="51"/>
      <c r="D183" s="210"/>
      <c r="E183" s="210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  <c r="S183" s="51"/>
      <c r="T183" s="51"/>
      <c r="U183" s="51"/>
      <c r="V183" s="51"/>
      <c r="W183" s="51"/>
      <c r="X183" s="51"/>
      <c r="Y183" s="51"/>
      <c r="Z183" s="51"/>
      <c r="AA183" s="51"/>
      <c r="AB183" s="51"/>
      <c r="AC183" s="51"/>
      <c r="AD183" s="51"/>
    </row>
    <row r="184" spans="1:30" x14ac:dyDescent="0.25">
      <c r="A184" s="51"/>
      <c r="B184" s="51"/>
      <c r="C184" s="51"/>
      <c r="D184" s="210"/>
      <c r="E184" s="210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  <c r="S184" s="51"/>
      <c r="T184" s="51"/>
      <c r="U184" s="51"/>
      <c r="V184" s="51"/>
      <c r="W184" s="51"/>
      <c r="X184" s="51"/>
      <c r="Y184" s="51"/>
      <c r="Z184" s="51"/>
      <c r="AA184" s="51"/>
      <c r="AB184" s="51"/>
      <c r="AC184" s="51"/>
      <c r="AD184" s="51"/>
    </row>
    <row r="185" spans="1:30" x14ac:dyDescent="0.25">
      <c r="A185" s="51"/>
      <c r="B185" s="51"/>
      <c r="C185" s="51"/>
      <c r="D185" s="210"/>
      <c r="E185" s="210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  <c r="S185" s="51"/>
      <c r="T185" s="51"/>
      <c r="U185" s="51"/>
      <c r="V185" s="51"/>
      <c r="W185" s="51"/>
      <c r="X185" s="51"/>
      <c r="Y185" s="51"/>
      <c r="Z185" s="51"/>
      <c r="AA185" s="51"/>
      <c r="AB185" s="51"/>
      <c r="AC185" s="51"/>
      <c r="AD185" s="51"/>
    </row>
    <row r="186" spans="1:30" x14ac:dyDescent="0.25">
      <c r="A186" s="51"/>
      <c r="B186" s="51"/>
      <c r="C186" s="51"/>
      <c r="D186" s="210"/>
      <c r="E186" s="210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  <c r="S186" s="51"/>
      <c r="T186" s="51"/>
      <c r="U186" s="51"/>
      <c r="V186" s="51"/>
      <c r="W186" s="51"/>
      <c r="X186" s="51"/>
      <c r="Y186" s="51"/>
      <c r="Z186" s="51"/>
      <c r="AA186" s="51"/>
      <c r="AB186" s="51"/>
      <c r="AC186" s="51"/>
      <c r="AD186" s="51"/>
    </row>
    <row r="187" spans="1:30" x14ac:dyDescent="0.25">
      <c r="A187" s="51"/>
      <c r="B187" s="51"/>
      <c r="C187" s="51"/>
      <c r="D187" s="210"/>
      <c r="E187" s="210"/>
      <c r="F187" s="51"/>
      <c r="G187" s="51"/>
      <c r="H187" s="51"/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</row>
    <row r="188" spans="1:30" x14ac:dyDescent="0.25">
      <c r="A188" s="51"/>
      <c r="B188" s="51"/>
      <c r="C188" s="51"/>
      <c r="D188" s="210"/>
      <c r="E188" s="210"/>
      <c r="F188" s="51"/>
      <c r="G188" s="51"/>
      <c r="H188" s="51"/>
      <c r="I188" s="51"/>
      <c r="J188" s="51"/>
      <c r="K188" s="51"/>
      <c r="L188" s="51"/>
      <c r="M188" s="51"/>
      <c r="N188" s="51"/>
      <c r="O188" s="51"/>
      <c r="P188" s="51"/>
      <c r="Q188" s="51"/>
      <c r="R188" s="51"/>
      <c r="S188" s="51"/>
      <c r="T188" s="51"/>
      <c r="U188" s="51"/>
      <c r="V188" s="51"/>
      <c r="W188" s="51"/>
      <c r="X188" s="51"/>
      <c r="Y188" s="51"/>
      <c r="Z188" s="51"/>
      <c r="AA188" s="51"/>
      <c r="AB188" s="51"/>
      <c r="AC188" s="51"/>
      <c r="AD188" s="51"/>
    </row>
    <row r="189" spans="1:30" x14ac:dyDescent="0.25">
      <c r="A189" s="51"/>
      <c r="B189" s="51"/>
      <c r="C189" s="51"/>
      <c r="D189" s="210"/>
      <c r="E189" s="210"/>
      <c r="F189" s="51"/>
      <c r="G189" s="51"/>
      <c r="H189" s="51"/>
      <c r="I189" s="51"/>
      <c r="J189" s="51"/>
      <c r="K189" s="51"/>
      <c r="L189" s="51"/>
      <c r="M189" s="51"/>
      <c r="N189" s="51"/>
      <c r="O189" s="51"/>
      <c r="P189" s="51"/>
      <c r="Q189" s="51"/>
      <c r="R189" s="51"/>
      <c r="S189" s="51"/>
      <c r="T189" s="51"/>
      <c r="U189" s="51"/>
      <c r="V189" s="51"/>
      <c r="W189" s="51"/>
      <c r="X189" s="51"/>
      <c r="Y189" s="51"/>
      <c r="Z189" s="51"/>
      <c r="AA189" s="51"/>
      <c r="AB189" s="51"/>
      <c r="AC189" s="51"/>
      <c r="AD189" s="51"/>
    </row>
    <row r="190" spans="1:30" x14ac:dyDescent="0.25">
      <c r="A190" s="51"/>
      <c r="B190" s="51"/>
      <c r="C190" s="51"/>
      <c r="D190" s="210"/>
      <c r="E190" s="210"/>
      <c r="F190" s="51"/>
      <c r="G190" s="51"/>
      <c r="H190" s="51"/>
      <c r="I190" s="51"/>
      <c r="J190" s="51"/>
      <c r="K190" s="51"/>
      <c r="L190" s="51"/>
      <c r="M190" s="51"/>
      <c r="N190" s="51"/>
      <c r="O190" s="51"/>
      <c r="P190" s="51"/>
      <c r="Q190" s="51"/>
      <c r="R190" s="51"/>
      <c r="S190" s="51"/>
      <c r="T190" s="51"/>
      <c r="U190" s="51"/>
      <c r="V190" s="51"/>
      <c r="W190" s="51"/>
      <c r="X190" s="51"/>
      <c r="Y190" s="51"/>
      <c r="Z190" s="51"/>
      <c r="AA190" s="51"/>
      <c r="AB190" s="51"/>
      <c r="AC190" s="51"/>
      <c r="AD190" s="51"/>
    </row>
    <row r="191" spans="1:30" x14ac:dyDescent="0.25">
      <c r="A191" s="51"/>
      <c r="B191" s="51"/>
      <c r="C191" s="51"/>
      <c r="D191" s="210"/>
      <c r="E191" s="210"/>
      <c r="F191" s="51"/>
      <c r="G191" s="51"/>
      <c r="H191" s="51"/>
      <c r="I191" s="51"/>
      <c r="J191" s="51"/>
      <c r="K191" s="51"/>
      <c r="L191" s="51"/>
      <c r="M191" s="51"/>
      <c r="N191" s="51"/>
      <c r="O191" s="51"/>
      <c r="P191" s="51"/>
      <c r="Q191" s="51"/>
      <c r="R191" s="51"/>
      <c r="S191" s="51"/>
      <c r="T191" s="51"/>
      <c r="U191" s="51"/>
      <c r="V191" s="51"/>
      <c r="W191" s="51"/>
      <c r="X191" s="51"/>
      <c r="Y191" s="51"/>
      <c r="Z191" s="51"/>
      <c r="AA191" s="51"/>
      <c r="AB191" s="51"/>
      <c r="AC191" s="51"/>
      <c r="AD191" s="51"/>
    </row>
    <row r="192" spans="1:30" x14ac:dyDescent="0.25">
      <c r="A192" s="51"/>
      <c r="B192" s="51"/>
      <c r="C192" s="51"/>
      <c r="D192" s="210"/>
      <c r="E192" s="210"/>
      <c r="F192" s="51"/>
      <c r="G192" s="51"/>
      <c r="H192" s="51"/>
      <c r="I192" s="51"/>
      <c r="J192" s="51"/>
      <c r="K192" s="51"/>
      <c r="L192" s="51"/>
      <c r="M192" s="51"/>
      <c r="N192" s="51"/>
      <c r="O192" s="51"/>
      <c r="P192" s="51"/>
      <c r="Q192" s="51"/>
      <c r="R192" s="51"/>
      <c r="S192" s="51"/>
      <c r="T192" s="51"/>
      <c r="U192" s="51"/>
      <c r="V192" s="51"/>
      <c r="W192" s="51"/>
      <c r="X192" s="51"/>
      <c r="Y192" s="51"/>
      <c r="Z192" s="51"/>
      <c r="AA192" s="51"/>
      <c r="AB192" s="51"/>
      <c r="AC192" s="51"/>
      <c r="AD192" s="51"/>
    </row>
    <row r="193" spans="1:30" x14ac:dyDescent="0.25">
      <c r="A193" s="51"/>
      <c r="B193" s="51"/>
      <c r="C193" s="51"/>
      <c r="D193" s="210"/>
      <c r="E193" s="210"/>
      <c r="F193" s="51"/>
      <c r="G193" s="51"/>
      <c r="H193" s="51"/>
      <c r="I193" s="51"/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</row>
    <row r="194" spans="1:30" x14ac:dyDescent="0.25">
      <c r="A194" s="51"/>
      <c r="B194" s="51"/>
      <c r="C194" s="51"/>
      <c r="D194" s="210"/>
      <c r="E194" s="210"/>
      <c r="F194" s="51"/>
      <c r="G194" s="51"/>
      <c r="H194" s="51"/>
      <c r="I194" s="51"/>
      <c r="J194" s="51"/>
      <c r="K194" s="51"/>
      <c r="L194" s="51"/>
      <c r="M194" s="51"/>
      <c r="N194" s="51"/>
      <c r="O194" s="51"/>
      <c r="P194" s="51"/>
      <c r="Q194" s="51"/>
      <c r="R194" s="51"/>
      <c r="S194" s="51"/>
      <c r="T194" s="51"/>
      <c r="U194" s="51"/>
      <c r="V194" s="51"/>
      <c r="W194" s="51"/>
      <c r="X194" s="51"/>
      <c r="Y194" s="51"/>
      <c r="Z194" s="51"/>
      <c r="AA194" s="51"/>
      <c r="AB194" s="51"/>
      <c r="AC194" s="51"/>
      <c r="AD194" s="51"/>
    </row>
    <row r="195" spans="1:30" x14ac:dyDescent="0.25">
      <c r="A195" s="51"/>
      <c r="B195" s="51"/>
      <c r="C195" s="51"/>
      <c r="D195" s="210"/>
      <c r="E195" s="210"/>
      <c r="F195" s="51"/>
      <c r="G195" s="51"/>
      <c r="H195" s="51"/>
      <c r="I195" s="51"/>
      <c r="J195" s="51"/>
      <c r="K195" s="51"/>
      <c r="L195" s="51"/>
      <c r="M195" s="51"/>
      <c r="N195" s="51"/>
      <c r="O195" s="51"/>
      <c r="P195" s="51"/>
      <c r="Q195" s="51"/>
      <c r="R195" s="51"/>
      <c r="S195" s="51"/>
      <c r="T195" s="51"/>
      <c r="U195" s="51"/>
      <c r="V195" s="51"/>
      <c r="W195" s="51"/>
      <c r="X195" s="51"/>
      <c r="Y195" s="51"/>
      <c r="Z195" s="51"/>
      <c r="AA195" s="51"/>
      <c r="AB195" s="51"/>
      <c r="AC195" s="51"/>
      <c r="AD195" s="51"/>
    </row>
    <row r="196" spans="1:30" x14ac:dyDescent="0.25">
      <c r="A196" s="51"/>
      <c r="B196" s="51"/>
      <c r="C196" s="51"/>
      <c r="D196" s="210"/>
      <c r="E196" s="210"/>
      <c r="F196" s="51"/>
      <c r="G196" s="51"/>
      <c r="H196" s="51"/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</row>
    <row r="197" spans="1:30" x14ac:dyDescent="0.25">
      <c r="A197" s="51"/>
      <c r="B197" s="51"/>
      <c r="C197" s="51"/>
      <c r="D197" s="210"/>
      <c r="E197" s="210"/>
      <c r="F197" s="51"/>
      <c r="G197" s="51"/>
      <c r="H197" s="51"/>
      <c r="I197" s="51"/>
      <c r="J197" s="51"/>
      <c r="K197" s="51"/>
      <c r="L197" s="51"/>
      <c r="M197" s="51"/>
      <c r="N197" s="51"/>
      <c r="O197" s="51"/>
      <c r="P197" s="51"/>
      <c r="Q197" s="51"/>
      <c r="R197" s="51"/>
      <c r="S197" s="51"/>
      <c r="T197" s="51"/>
      <c r="U197" s="51"/>
      <c r="V197" s="51"/>
      <c r="W197" s="51"/>
      <c r="X197" s="51"/>
      <c r="Y197" s="51"/>
      <c r="Z197" s="51"/>
      <c r="AA197" s="51"/>
      <c r="AB197" s="51"/>
      <c r="AC197" s="51"/>
      <c r="AD197" s="51"/>
    </row>
    <row r="198" spans="1:30" x14ac:dyDescent="0.25">
      <c r="A198" s="51"/>
      <c r="B198" s="51"/>
      <c r="C198" s="51"/>
      <c r="D198" s="210"/>
      <c r="E198" s="210"/>
      <c r="F198" s="51"/>
      <c r="G198" s="51"/>
      <c r="H198" s="51"/>
      <c r="I198" s="51"/>
      <c r="J198" s="51"/>
      <c r="K198" s="51"/>
      <c r="L198" s="51"/>
      <c r="M198" s="51"/>
      <c r="N198" s="51"/>
      <c r="O198" s="51"/>
      <c r="P198" s="51"/>
      <c r="Q198" s="51"/>
      <c r="R198" s="51"/>
      <c r="S198" s="51"/>
      <c r="T198" s="51"/>
      <c r="U198" s="51"/>
      <c r="V198" s="51"/>
      <c r="W198" s="51"/>
      <c r="X198" s="51"/>
      <c r="Y198" s="51"/>
      <c r="Z198" s="51"/>
      <c r="AA198" s="51"/>
      <c r="AB198" s="51"/>
      <c r="AC198" s="51"/>
      <c r="AD198" s="51"/>
    </row>
    <row r="199" spans="1:30" x14ac:dyDescent="0.25">
      <c r="A199" s="51"/>
      <c r="B199" s="51"/>
      <c r="C199" s="51"/>
      <c r="D199" s="210"/>
      <c r="E199" s="210"/>
      <c r="F199" s="51"/>
      <c r="G199" s="51"/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</row>
    <row r="200" spans="1:30" x14ac:dyDescent="0.25">
      <c r="A200" s="51"/>
      <c r="B200" s="51"/>
      <c r="C200" s="51"/>
      <c r="D200" s="210"/>
      <c r="E200" s="210"/>
      <c r="F200" s="51"/>
      <c r="G200" s="51"/>
      <c r="H200" s="51"/>
      <c r="I200" s="51"/>
      <c r="J200" s="51"/>
      <c r="K200" s="51"/>
      <c r="L200" s="51"/>
      <c r="M200" s="51"/>
      <c r="N200" s="51"/>
      <c r="O200" s="51"/>
      <c r="P200" s="51"/>
      <c r="Q200" s="51"/>
      <c r="R200" s="51"/>
      <c r="S200" s="51"/>
      <c r="T200" s="51"/>
      <c r="U200" s="51"/>
      <c r="V200" s="51"/>
      <c r="W200" s="51"/>
      <c r="X200" s="51"/>
      <c r="Y200" s="51"/>
      <c r="Z200" s="51"/>
      <c r="AA200" s="51"/>
      <c r="AB200" s="51"/>
      <c r="AC200" s="51"/>
      <c r="AD200" s="51"/>
    </row>
    <row r="201" spans="1:30" x14ac:dyDescent="0.25">
      <c r="A201" s="51"/>
      <c r="B201" s="51"/>
      <c r="C201" s="51"/>
      <c r="D201" s="210"/>
      <c r="E201" s="210"/>
      <c r="F201" s="51"/>
      <c r="G201" s="51"/>
      <c r="H201" s="51"/>
      <c r="I201" s="51"/>
      <c r="J201" s="51"/>
      <c r="K201" s="51"/>
      <c r="L201" s="51"/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/>
      <c r="AC201" s="51"/>
      <c r="AD201" s="51"/>
    </row>
    <row r="202" spans="1:30" x14ac:dyDescent="0.25">
      <c r="A202" s="51"/>
      <c r="B202" s="51"/>
      <c r="C202" s="51"/>
      <c r="D202" s="210"/>
      <c r="E202" s="210"/>
      <c r="F202" s="51"/>
      <c r="G202" s="51"/>
      <c r="H202" s="51"/>
      <c r="I202" s="51"/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</row>
    <row r="203" spans="1:30" x14ac:dyDescent="0.25">
      <c r="A203" s="51"/>
      <c r="B203" s="51"/>
      <c r="C203" s="51"/>
      <c r="D203" s="210"/>
      <c r="E203" s="210"/>
      <c r="F203" s="51"/>
      <c r="G203" s="51"/>
      <c r="H203" s="51"/>
      <c r="I203" s="51"/>
      <c r="J203" s="51"/>
      <c r="K203" s="51"/>
      <c r="L203" s="51"/>
      <c r="M203" s="51"/>
      <c r="N203" s="51"/>
      <c r="O203" s="51"/>
      <c r="P203" s="51"/>
      <c r="Q203" s="51"/>
      <c r="R203" s="51"/>
      <c r="S203" s="51"/>
      <c r="T203" s="51"/>
      <c r="U203" s="51"/>
      <c r="V203" s="51"/>
      <c r="W203" s="51"/>
      <c r="X203" s="51"/>
      <c r="Y203" s="51"/>
      <c r="Z203" s="51"/>
      <c r="AA203" s="51"/>
      <c r="AB203" s="51"/>
      <c r="AC203" s="51"/>
      <c r="AD203" s="51"/>
    </row>
    <row r="204" spans="1:30" x14ac:dyDescent="0.25">
      <c r="A204" s="51"/>
      <c r="B204" s="51"/>
      <c r="C204" s="51"/>
      <c r="D204" s="210"/>
      <c r="E204" s="210"/>
      <c r="F204" s="51"/>
      <c r="G204" s="51"/>
      <c r="H204" s="51"/>
      <c r="I204" s="51"/>
      <c r="J204" s="51"/>
      <c r="K204" s="51"/>
      <c r="L204" s="51"/>
      <c r="M204" s="51"/>
      <c r="N204" s="51"/>
      <c r="O204" s="51"/>
      <c r="P204" s="51"/>
      <c r="Q204" s="51"/>
      <c r="R204" s="51"/>
      <c r="S204" s="51"/>
      <c r="T204" s="51"/>
      <c r="U204" s="51"/>
      <c r="V204" s="51"/>
      <c r="W204" s="51"/>
      <c r="X204" s="51"/>
      <c r="Y204" s="51"/>
      <c r="Z204" s="51"/>
      <c r="AA204" s="51"/>
      <c r="AB204" s="51"/>
      <c r="AC204" s="51"/>
      <c r="AD204" s="51"/>
    </row>
    <row r="205" spans="1:30" x14ac:dyDescent="0.25">
      <c r="A205" s="51"/>
      <c r="B205" s="51"/>
      <c r="C205" s="51"/>
      <c r="D205" s="210"/>
      <c r="E205" s="210"/>
      <c r="F205" s="51"/>
      <c r="G205" s="51"/>
      <c r="H205" s="51"/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</row>
    <row r="206" spans="1:30" x14ac:dyDescent="0.25">
      <c r="A206" s="51"/>
      <c r="B206" s="51"/>
      <c r="C206" s="51"/>
      <c r="D206" s="210"/>
      <c r="E206" s="210"/>
      <c r="F206" s="51"/>
      <c r="G206" s="51"/>
      <c r="H206" s="51"/>
      <c r="I206" s="51"/>
      <c r="J206" s="51"/>
      <c r="K206" s="51"/>
      <c r="L206" s="51"/>
      <c r="M206" s="51"/>
      <c r="N206" s="51"/>
      <c r="O206" s="51"/>
      <c r="P206" s="51"/>
      <c r="Q206" s="51"/>
      <c r="R206" s="51"/>
      <c r="S206" s="51"/>
      <c r="T206" s="51"/>
      <c r="U206" s="51"/>
      <c r="V206" s="51"/>
      <c r="W206" s="51"/>
      <c r="X206" s="51"/>
      <c r="Y206" s="51"/>
      <c r="Z206" s="51"/>
      <c r="AA206" s="51"/>
      <c r="AB206" s="51"/>
      <c r="AC206" s="51"/>
      <c r="AD206" s="51"/>
    </row>
    <row r="207" spans="1:30" x14ac:dyDescent="0.25">
      <c r="A207" s="51"/>
      <c r="B207" s="51"/>
      <c r="C207" s="51"/>
      <c r="D207" s="210"/>
      <c r="E207" s="210"/>
      <c r="F207" s="51"/>
      <c r="G207" s="51"/>
      <c r="H207" s="51"/>
      <c r="I207" s="51"/>
      <c r="J207" s="51"/>
      <c r="K207" s="51"/>
      <c r="L207" s="51"/>
      <c r="M207" s="51"/>
      <c r="N207" s="51"/>
      <c r="O207" s="51"/>
      <c r="P207" s="51"/>
      <c r="Q207" s="51"/>
      <c r="R207" s="51"/>
      <c r="S207" s="51"/>
      <c r="T207" s="51"/>
      <c r="U207" s="51"/>
      <c r="V207" s="51"/>
      <c r="W207" s="51"/>
      <c r="X207" s="51"/>
      <c r="Y207" s="51"/>
      <c r="Z207" s="51"/>
      <c r="AA207" s="51"/>
      <c r="AB207" s="51"/>
      <c r="AC207" s="51"/>
      <c r="AD207" s="51"/>
    </row>
    <row r="208" spans="1:30" x14ac:dyDescent="0.25">
      <c r="A208" s="51"/>
      <c r="B208" s="51"/>
      <c r="C208" s="51"/>
      <c r="D208" s="210"/>
      <c r="E208" s="210"/>
      <c r="F208" s="51"/>
      <c r="G208" s="51"/>
      <c r="H208" s="51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</row>
    <row r="209" spans="1:30" x14ac:dyDescent="0.25">
      <c r="A209" s="51"/>
      <c r="B209" s="51"/>
      <c r="C209" s="51"/>
      <c r="D209" s="210"/>
      <c r="E209" s="210"/>
      <c r="F209" s="51"/>
      <c r="G209" s="51"/>
      <c r="H209" s="51"/>
      <c r="I209" s="51"/>
      <c r="J209" s="51"/>
      <c r="K209" s="51"/>
      <c r="L209" s="51"/>
      <c r="M209" s="51"/>
      <c r="N209" s="51"/>
      <c r="O209" s="51"/>
      <c r="P209" s="51"/>
      <c r="Q209" s="51"/>
      <c r="R209" s="51"/>
      <c r="S209" s="51"/>
      <c r="T209" s="51"/>
      <c r="U209" s="51"/>
      <c r="V209" s="51"/>
      <c r="W209" s="51"/>
      <c r="X209" s="51"/>
      <c r="Y209" s="51"/>
      <c r="Z209" s="51"/>
      <c r="AA209" s="51"/>
      <c r="AB209" s="51"/>
      <c r="AC209" s="51"/>
      <c r="AD209" s="51"/>
    </row>
    <row r="210" spans="1:30" x14ac:dyDescent="0.25">
      <c r="A210" s="51"/>
      <c r="B210" s="51"/>
      <c r="C210" s="51"/>
      <c r="D210" s="210"/>
      <c r="E210" s="210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  <c r="S210" s="51"/>
      <c r="T210" s="51"/>
      <c r="U210" s="51"/>
      <c r="V210" s="51"/>
      <c r="W210" s="51"/>
      <c r="X210" s="51"/>
      <c r="Y210" s="51"/>
      <c r="Z210" s="51"/>
      <c r="AA210" s="51"/>
      <c r="AB210" s="51"/>
      <c r="AC210" s="51"/>
      <c r="AD210" s="51"/>
    </row>
    <row r="211" spans="1:30" x14ac:dyDescent="0.25">
      <c r="A211" s="51"/>
      <c r="B211" s="51"/>
      <c r="C211" s="51"/>
      <c r="D211" s="210"/>
      <c r="E211" s="210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</row>
    <row r="212" spans="1:30" x14ac:dyDescent="0.25">
      <c r="A212" s="51"/>
      <c r="B212" s="51"/>
      <c r="C212" s="51"/>
      <c r="D212" s="210"/>
      <c r="E212" s="210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  <c r="S212" s="51"/>
      <c r="T212" s="51"/>
      <c r="U212" s="51"/>
      <c r="V212" s="51"/>
      <c r="W212" s="51"/>
      <c r="X212" s="51"/>
      <c r="Y212" s="51"/>
      <c r="Z212" s="51"/>
      <c r="AA212" s="51"/>
      <c r="AB212" s="51"/>
      <c r="AC212" s="51"/>
      <c r="AD212" s="51"/>
    </row>
    <row r="213" spans="1:30" x14ac:dyDescent="0.25">
      <c r="A213" s="51"/>
      <c r="B213" s="51"/>
      <c r="C213" s="51"/>
      <c r="D213" s="210"/>
      <c r="E213" s="210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  <c r="S213" s="51"/>
      <c r="T213" s="51"/>
      <c r="U213" s="51"/>
      <c r="V213" s="51"/>
      <c r="W213" s="51"/>
      <c r="X213" s="51"/>
      <c r="Y213" s="51"/>
      <c r="Z213" s="51"/>
      <c r="AA213" s="51"/>
      <c r="AB213" s="51"/>
      <c r="AC213" s="51"/>
      <c r="AD213" s="51"/>
    </row>
    <row r="214" spans="1:30" x14ac:dyDescent="0.25">
      <c r="A214" s="51"/>
      <c r="B214" s="51"/>
      <c r="C214" s="51"/>
      <c r="D214" s="210"/>
      <c r="E214" s="210"/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  <c r="S214" s="51"/>
      <c r="T214" s="51"/>
      <c r="U214" s="51"/>
      <c r="V214" s="51"/>
      <c r="W214" s="51"/>
      <c r="X214" s="51"/>
      <c r="Y214" s="51"/>
      <c r="Z214" s="51"/>
      <c r="AA214" s="51"/>
      <c r="AB214" s="51"/>
      <c r="AC214" s="51"/>
      <c r="AD214" s="51"/>
    </row>
    <row r="215" spans="1:30" x14ac:dyDescent="0.25">
      <c r="A215" s="51"/>
      <c r="B215" s="51"/>
      <c r="C215" s="51"/>
      <c r="D215" s="210"/>
      <c r="E215" s="210"/>
      <c r="F215" s="51"/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  <c r="S215" s="51"/>
      <c r="T215" s="51"/>
      <c r="U215" s="51"/>
      <c r="V215" s="51"/>
      <c r="W215" s="51"/>
      <c r="X215" s="51"/>
      <c r="Y215" s="51"/>
      <c r="Z215" s="51"/>
      <c r="AA215" s="51"/>
      <c r="AB215" s="51"/>
      <c r="AC215" s="51"/>
      <c r="AD215" s="51"/>
    </row>
    <row r="216" spans="1:30" x14ac:dyDescent="0.25">
      <c r="A216" s="51"/>
      <c r="B216" s="51"/>
      <c r="C216" s="51"/>
      <c r="D216" s="210"/>
      <c r="E216" s="210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  <c r="S216" s="51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51"/>
    </row>
    <row r="217" spans="1:30" x14ac:dyDescent="0.25">
      <c r="A217" s="51"/>
      <c r="B217" s="51"/>
      <c r="C217" s="51"/>
      <c r="D217" s="210"/>
      <c r="E217" s="210"/>
      <c r="F217" s="51"/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  <c r="S217" s="51"/>
      <c r="T217" s="51"/>
      <c r="U217" s="51"/>
      <c r="V217" s="51"/>
      <c r="W217" s="51"/>
      <c r="X217" s="51"/>
      <c r="Y217" s="51"/>
      <c r="Z217" s="51"/>
      <c r="AA217" s="51"/>
      <c r="AB217" s="51"/>
      <c r="AC217" s="51"/>
      <c r="AD217" s="51"/>
    </row>
    <row r="218" spans="1:30" x14ac:dyDescent="0.25">
      <c r="A218" s="51"/>
      <c r="B218" s="51"/>
      <c r="C218" s="51"/>
      <c r="D218" s="210"/>
      <c r="E218" s="210"/>
      <c r="F218" s="51"/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  <c r="S218" s="51"/>
      <c r="T218" s="51"/>
      <c r="U218" s="51"/>
      <c r="V218" s="51"/>
      <c r="W218" s="51"/>
      <c r="X218" s="51"/>
      <c r="Y218" s="51"/>
      <c r="Z218" s="51"/>
      <c r="AA218" s="51"/>
      <c r="AB218" s="51"/>
      <c r="AC218" s="51"/>
      <c r="AD218" s="51"/>
    </row>
    <row r="219" spans="1:30" x14ac:dyDescent="0.25">
      <c r="A219" s="51"/>
      <c r="B219" s="51"/>
      <c r="C219" s="51"/>
      <c r="D219" s="210"/>
      <c r="E219" s="210"/>
      <c r="F219" s="51"/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  <c r="S219" s="51"/>
      <c r="T219" s="51"/>
      <c r="U219" s="51"/>
      <c r="V219" s="51"/>
      <c r="W219" s="51"/>
      <c r="X219" s="51"/>
      <c r="Y219" s="51"/>
      <c r="Z219" s="51"/>
      <c r="AA219" s="51"/>
      <c r="AB219" s="51"/>
      <c r="AC219" s="51"/>
      <c r="AD219" s="51"/>
    </row>
    <row r="220" spans="1:30" x14ac:dyDescent="0.25">
      <c r="A220" s="51"/>
      <c r="B220" s="51"/>
      <c r="C220" s="51"/>
      <c r="D220" s="210"/>
      <c r="E220" s="210"/>
      <c r="F220" s="51"/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  <c r="S220" s="51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</row>
    <row r="221" spans="1:30" x14ac:dyDescent="0.25">
      <c r="A221" s="51"/>
      <c r="B221" s="51"/>
      <c r="C221" s="51"/>
      <c r="D221" s="210"/>
      <c r="E221" s="210"/>
      <c r="F221" s="51"/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  <c r="S221" s="51"/>
      <c r="T221" s="51"/>
      <c r="U221" s="51"/>
      <c r="V221" s="51"/>
      <c r="W221" s="51"/>
      <c r="X221" s="51"/>
      <c r="Y221" s="51"/>
      <c r="Z221" s="51"/>
      <c r="AA221" s="51"/>
      <c r="AB221" s="51"/>
      <c r="AC221" s="51"/>
      <c r="AD221" s="51"/>
    </row>
    <row r="222" spans="1:30" x14ac:dyDescent="0.25">
      <c r="A222" s="51"/>
      <c r="B222" s="51"/>
      <c r="C222" s="51"/>
      <c r="D222" s="210"/>
      <c r="E222" s="210"/>
      <c r="F222" s="51"/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  <c r="S222" s="51"/>
      <c r="T222" s="51"/>
      <c r="U222" s="51"/>
      <c r="V222" s="51"/>
      <c r="W222" s="51"/>
      <c r="X222" s="51"/>
      <c r="Y222" s="51"/>
      <c r="Z222" s="51"/>
      <c r="AA222" s="51"/>
      <c r="AB222" s="51"/>
      <c r="AC222" s="51"/>
      <c r="AD222" s="51"/>
    </row>
    <row r="223" spans="1:30" x14ac:dyDescent="0.25">
      <c r="A223" s="51"/>
      <c r="B223" s="51"/>
      <c r="C223" s="51"/>
      <c r="D223" s="210"/>
      <c r="E223" s="210"/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  <c r="S223" s="51"/>
      <c r="T223" s="51"/>
      <c r="U223" s="51"/>
      <c r="V223" s="51"/>
      <c r="W223" s="51"/>
      <c r="X223" s="51"/>
      <c r="Y223" s="51"/>
      <c r="Z223" s="51"/>
      <c r="AA223" s="51"/>
      <c r="AB223" s="51"/>
      <c r="AC223" s="51"/>
      <c r="AD223" s="51"/>
    </row>
    <row r="224" spans="1:30" x14ac:dyDescent="0.25">
      <c r="A224" s="51"/>
      <c r="B224" s="51"/>
      <c r="C224" s="51"/>
      <c r="D224" s="210"/>
      <c r="E224" s="210"/>
      <c r="F224" s="51"/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  <c r="S224" s="51"/>
      <c r="T224" s="51"/>
      <c r="U224" s="51"/>
      <c r="V224" s="51"/>
      <c r="W224" s="51"/>
      <c r="X224" s="51"/>
      <c r="Y224" s="51"/>
      <c r="Z224" s="51"/>
      <c r="AA224" s="51"/>
      <c r="AB224" s="51"/>
      <c r="AC224" s="51"/>
      <c r="AD224" s="51"/>
    </row>
    <row r="225" spans="1:30" x14ac:dyDescent="0.25">
      <c r="A225" s="51"/>
      <c r="B225" s="51"/>
      <c r="C225" s="51"/>
      <c r="D225" s="210"/>
      <c r="E225" s="210"/>
      <c r="F225" s="51"/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  <c r="S225" s="51"/>
      <c r="T225" s="51"/>
      <c r="U225" s="51"/>
      <c r="V225" s="51"/>
      <c r="W225" s="51"/>
      <c r="X225" s="51"/>
      <c r="Y225" s="51"/>
      <c r="Z225" s="51"/>
      <c r="AA225" s="51"/>
      <c r="AB225" s="51"/>
      <c r="AC225" s="51"/>
      <c r="AD225" s="51"/>
    </row>
    <row r="226" spans="1:30" x14ac:dyDescent="0.25">
      <c r="A226" s="51"/>
      <c r="B226" s="51"/>
      <c r="C226" s="51"/>
      <c r="D226" s="210"/>
      <c r="E226" s="210"/>
      <c r="F226" s="51"/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</row>
    <row r="227" spans="1:30" x14ac:dyDescent="0.25">
      <c r="A227" s="51"/>
      <c r="B227" s="51"/>
      <c r="C227" s="51"/>
      <c r="D227" s="210"/>
      <c r="E227" s="210"/>
      <c r="F227" s="51"/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  <c r="S227" s="51"/>
      <c r="T227" s="51"/>
      <c r="U227" s="51"/>
      <c r="V227" s="51"/>
      <c r="W227" s="51"/>
      <c r="X227" s="51"/>
      <c r="Y227" s="51"/>
      <c r="Z227" s="51"/>
      <c r="AA227" s="51"/>
      <c r="AB227" s="51"/>
      <c r="AC227" s="51"/>
      <c r="AD227" s="51"/>
    </row>
    <row r="228" spans="1:30" x14ac:dyDescent="0.25">
      <c r="A228" s="51"/>
      <c r="B228" s="51"/>
      <c r="C228" s="51"/>
      <c r="D228" s="210"/>
      <c r="E228" s="210"/>
      <c r="F228" s="51"/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  <c r="S228" s="51"/>
      <c r="T228" s="51"/>
      <c r="U228" s="51"/>
      <c r="V228" s="51"/>
      <c r="W228" s="51"/>
      <c r="X228" s="51"/>
      <c r="Y228" s="51"/>
      <c r="Z228" s="51"/>
      <c r="AA228" s="51"/>
      <c r="AB228" s="51"/>
      <c r="AC228" s="51"/>
      <c r="AD228" s="51"/>
    </row>
    <row r="229" spans="1:30" x14ac:dyDescent="0.25">
      <c r="A229" s="51"/>
      <c r="B229" s="51"/>
      <c r="C229" s="51"/>
      <c r="D229" s="210"/>
      <c r="E229" s="210"/>
      <c r="F229" s="51"/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  <c r="S229" s="51"/>
      <c r="T229" s="51"/>
      <c r="U229" s="51"/>
      <c r="V229" s="51"/>
      <c r="W229" s="51"/>
      <c r="X229" s="51"/>
      <c r="Y229" s="51"/>
      <c r="Z229" s="51"/>
      <c r="AA229" s="51"/>
      <c r="AB229" s="51"/>
      <c r="AC229" s="51"/>
      <c r="AD229" s="51"/>
    </row>
    <row r="230" spans="1:30" x14ac:dyDescent="0.25">
      <c r="A230" s="51"/>
      <c r="B230" s="51"/>
      <c r="C230" s="51"/>
      <c r="D230" s="210"/>
      <c r="E230" s="210"/>
      <c r="F230" s="51"/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  <c r="S230" s="51"/>
      <c r="T230" s="51"/>
      <c r="U230" s="51"/>
      <c r="V230" s="51"/>
      <c r="W230" s="51"/>
      <c r="X230" s="51"/>
      <c r="Y230" s="51"/>
      <c r="Z230" s="51"/>
      <c r="AA230" s="51"/>
      <c r="AB230" s="51"/>
      <c r="AC230" s="51"/>
      <c r="AD230" s="51"/>
    </row>
    <row r="231" spans="1:30" x14ac:dyDescent="0.25">
      <c r="A231" s="51"/>
      <c r="B231" s="51"/>
      <c r="C231" s="51"/>
      <c r="D231" s="210"/>
      <c r="E231" s="210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  <c r="S231" s="51"/>
      <c r="T231" s="51"/>
      <c r="U231" s="51"/>
      <c r="V231" s="51"/>
      <c r="W231" s="51"/>
      <c r="X231" s="51"/>
      <c r="Y231" s="51"/>
      <c r="Z231" s="51"/>
      <c r="AA231" s="51"/>
      <c r="AB231" s="51"/>
      <c r="AC231" s="51"/>
      <c r="AD231" s="51"/>
    </row>
    <row r="232" spans="1:30" x14ac:dyDescent="0.25">
      <c r="A232" s="51"/>
      <c r="B232" s="51"/>
      <c r="C232" s="51"/>
      <c r="D232" s="210"/>
      <c r="E232" s="210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</row>
    <row r="233" spans="1:30" x14ac:dyDescent="0.25">
      <c r="A233" s="51"/>
      <c r="B233" s="51"/>
      <c r="C233" s="51"/>
      <c r="D233" s="210"/>
      <c r="E233" s="210"/>
      <c r="F233" s="51"/>
      <c r="G233" s="51"/>
      <c r="H233" s="51"/>
      <c r="I233" s="51"/>
      <c r="J233" s="51"/>
      <c r="K233" s="51"/>
      <c r="L233" s="51"/>
      <c r="M233" s="51"/>
      <c r="N233" s="51"/>
      <c r="O233" s="51"/>
      <c r="P233" s="51"/>
      <c r="Q233" s="51"/>
      <c r="R233" s="51"/>
      <c r="S233" s="51"/>
      <c r="T233" s="51"/>
      <c r="U233" s="51"/>
      <c r="V233" s="51"/>
      <c r="W233" s="51"/>
      <c r="X233" s="51"/>
      <c r="Y233" s="51"/>
      <c r="Z233" s="51"/>
      <c r="AA233" s="51"/>
      <c r="AB233" s="51"/>
      <c r="AC233" s="51"/>
      <c r="AD233" s="51"/>
    </row>
    <row r="234" spans="1:30" x14ac:dyDescent="0.25">
      <c r="A234" s="51"/>
      <c r="B234" s="51"/>
      <c r="C234" s="51"/>
      <c r="D234" s="210"/>
      <c r="E234" s="210"/>
      <c r="F234" s="51"/>
      <c r="G234" s="51"/>
      <c r="H234" s="51"/>
      <c r="I234" s="51"/>
      <c r="J234" s="51"/>
      <c r="K234" s="51"/>
      <c r="L234" s="51"/>
      <c r="M234" s="51"/>
      <c r="N234" s="51"/>
      <c r="O234" s="51"/>
      <c r="P234" s="51"/>
      <c r="Q234" s="51"/>
      <c r="R234" s="51"/>
      <c r="S234" s="51"/>
      <c r="T234" s="51"/>
      <c r="U234" s="51"/>
      <c r="V234" s="51"/>
      <c r="W234" s="51"/>
      <c r="X234" s="51"/>
      <c r="Y234" s="51"/>
      <c r="Z234" s="51"/>
      <c r="AA234" s="51"/>
      <c r="AB234" s="51"/>
      <c r="AC234" s="51"/>
      <c r="AD234" s="51"/>
    </row>
    <row r="235" spans="1:30" x14ac:dyDescent="0.25">
      <c r="A235" s="51"/>
      <c r="B235" s="51"/>
      <c r="C235" s="51"/>
      <c r="D235" s="210"/>
      <c r="E235" s="210"/>
      <c r="F235" s="51"/>
      <c r="G235" s="51"/>
      <c r="H235" s="51"/>
      <c r="I235" s="51"/>
      <c r="J235" s="51"/>
      <c r="K235" s="51"/>
      <c r="L235" s="51"/>
      <c r="M235" s="51"/>
      <c r="N235" s="51"/>
      <c r="O235" s="51"/>
      <c r="P235" s="51"/>
      <c r="Q235" s="51"/>
      <c r="R235" s="51"/>
      <c r="S235" s="51"/>
      <c r="T235" s="51"/>
      <c r="U235" s="51"/>
      <c r="V235" s="51"/>
      <c r="W235" s="51"/>
      <c r="X235" s="51"/>
      <c r="Y235" s="51"/>
      <c r="Z235" s="51"/>
      <c r="AA235" s="51"/>
      <c r="AB235" s="51"/>
      <c r="AC235" s="51"/>
      <c r="AD235" s="51"/>
    </row>
    <row r="236" spans="1:30" x14ac:dyDescent="0.25">
      <c r="A236" s="51"/>
      <c r="B236" s="51"/>
      <c r="C236" s="51"/>
      <c r="D236" s="210"/>
      <c r="E236" s="210"/>
      <c r="F236" s="51"/>
      <c r="G236" s="51"/>
      <c r="H236" s="51"/>
      <c r="I236" s="51"/>
      <c r="J236" s="51"/>
      <c r="K236" s="51"/>
      <c r="L236" s="51"/>
      <c r="M236" s="51"/>
      <c r="N236" s="51"/>
      <c r="O236" s="51"/>
      <c r="P236" s="51"/>
      <c r="Q236" s="51"/>
      <c r="R236" s="51"/>
      <c r="S236" s="51"/>
      <c r="T236" s="51"/>
      <c r="U236" s="51"/>
      <c r="V236" s="51"/>
      <c r="W236" s="51"/>
      <c r="X236" s="51"/>
      <c r="Y236" s="51"/>
      <c r="Z236" s="51"/>
      <c r="AA236" s="51"/>
      <c r="AB236" s="51"/>
      <c r="AC236" s="51"/>
      <c r="AD236" s="51"/>
    </row>
    <row r="237" spans="1:30" x14ac:dyDescent="0.25">
      <c r="A237" s="51"/>
      <c r="B237" s="51"/>
      <c r="C237" s="51"/>
      <c r="D237" s="210"/>
      <c r="E237" s="210"/>
      <c r="F237" s="51"/>
      <c r="G237" s="51"/>
      <c r="H237" s="51"/>
      <c r="I237" s="51"/>
      <c r="J237" s="51"/>
      <c r="K237" s="51"/>
      <c r="L237" s="51"/>
      <c r="M237" s="51"/>
      <c r="N237" s="51"/>
      <c r="O237" s="51"/>
      <c r="P237" s="51"/>
      <c r="Q237" s="51"/>
      <c r="R237" s="51"/>
      <c r="S237" s="51"/>
      <c r="T237" s="51"/>
      <c r="U237" s="51"/>
      <c r="V237" s="51"/>
      <c r="W237" s="51"/>
      <c r="X237" s="51"/>
      <c r="Y237" s="51"/>
      <c r="Z237" s="51"/>
      <c r="AA237" s="51"/>
      <c r="AB237" s="51"/>
      <c r="AC237" s="51"/>
      <c r="AD237" s="51"/>
    </row>
    <row r="238" spans="1:30" x14ac:dyDescent="0.25">
      <c r="A238" s="51"/>
      <c r="B238" s="51"/>
      <c r="C238" s="51"/>
      <c r="D238" s="210"/>
      <c r="E238" s="210"/>
      <c r="F238" s="51"/>
      <c r="G238" s="51"/>
      <c r="H238" s="51"/>
      <c r="I238" s="51"/>
      <c r="J238" s="51"/>
      <c r="K238" s="51"/>
      <c r="L238" s="51"/>
      <c r="M238" s="51"/>
      <c r="N238" s="51"/>
      <c r="O238" s="51"/>
      <c r="P238" s="51"/>
      <c r="Q238" s="51"/>
      <c r="R238" s="51"/>
      <c r="S238" s="51"/>
      <c r="T238" s="51"/>
      <c r="U238" s="51"/>
      <c r="V238" s="51"/>
      <c r="W238" s="51"/>
      <c r="X238" s="51"/>
      <c r="Y238" s="51"/>
      <c r="Z238" s="51"/>
      <c r="AA238" s="51"/>
      <c r="AB238" s="51"/>
      <c r="AC238" s="51"/>
      <c r="AD238" s="51"/>
    </row>
    <row r="239" spans="1:30" x14ac:dyDescent="0.25">
      <c r="A239" s="51"/>
      <c r="B239" s="51"/>
      <c r="C239" s="51"/>
      <c r="D239" s="210"/>
      <c r="E239" s="210"/>
      <c r="F239" s="51"/>
      <c r="G239" s="51"/>
      <c r="H239" s="51"/>
      <c r="I239" s="51"/>
      <c r="J239" s="51"/>
      <c r="K239" s="51"/>
      <c r="L239" s="51"/>
      <c r="M239" s="51"/>
      <c r="N239" s="51"/>
      <c r="O239" s="51"/>
      <c r="P239" s="51"/>
      <c r="Q239" s="51"/>
      <c r="R239" s="51"/>
      <c r="S239" s="51"/>
      <c r="T239" s="51"/>
      <c r="U239" s="51"/>
      <c r="V239" s="51"/>
      <c r="W239" s="51"/>
      <c r="X239" s="51"/>
      <c r="Y239" s="51"/>
      <c r="Z239" s="51"/>
      <c r="AA239" s="51"/>
      <c r="AB239" s="51"/>
      <c r="AC239" s="51"/>
      <c r="AD239" s="51"/>
    </row>
    <row r="240" spans="1:30" x14ac:dyDescent="0.25">
      <c r="A240" s="51"/>
      <c r="B240" s="51"/>
      <c r="C240" s="51"/>
      <c r="D240" s="210"/>
      <c r="E240" s="210"/>
      <c r="F240" s="51"/>
      <c r="G240" s="51"/>
      <c r="H240" s="51"/>
      <c r="I240" s="51"/>
      <c r="J240" s="51"/>
      <c r="K240" s="51"/>
      <c r="L240" s="51"/>
      <c r="M240" s="51"/>
      <c r="N240" s="51"/>
      <c r="O240" s="51"/>
      <c r="P240" s="51"/>
      <c r="Q240" s="51"/>
      <c r="R240" s="51"/>
      <c r="S240" s="51"/>
      <c r="T240" s="51"/>
      <c r="U240" s="51"/>
      <c r="V240" s="51"/>
      <c r="W240" s="51"/>
      <c r="X240" s="51"/>
      <c r="Y240" s="51"/>
      <c r="Z240" s="51"/>
      <c r="AA240" s="51"/>
      <c r="AB240" s="51"/>
      <c r="AC240" s="51"/>
      <c r="AD240" s="51"/>
    </row>
    <row r="241" spans="1:30" x14ac:dyDescent="0.25">
      <c r="A241" s="51"/>
      <c r="B241" s="51"/>
      <c r="C241" s="51"/>
      <c r="D241" s="210"/>
      <c r="E241" s="210"/>
      <c r="F241" s="51"/>
      <c r="G241" s="51"/>
      <c r="H241" s="51"/>
      <c r="I241" s="51"/>
      <c r="J241" s="51"/>
      <c r="K241" s="51"/>
      <c r="L241" s="51"/>
      <c r="M241" s="51"/>
      <c r="N241" s="51"/>
      <c r="O241" s="51"/>
      <c r="P241" s="51"/>
      <c r="Q241" s="51"/>
      <c r="R241" s="51"/>
      <c r="S241" s="51"/>
      <c r="T241" s="51"/>
      <c r="U241" s="51"/>
      <c r="V241" s="51"/>
      <c r="W241" s="51"/>
      <c r="X241" s="51"/>
      <c r="Y241" s="51"/>
      <c r="Z241" s="51"/>
      <c r="AA241" s="51"/>
      <c r="AB241" s="51"/>
      <c r="AC241" s="51"/>
      <c r="AD241" s="51"/>
    </row>
    <row r="242" spans="1:30" x14ac:dyDescent="0.25">
      <c r="A242" s="51"/>
      <c r="B242" s="51"/>
      <c r="C242" s="51"/>
      <c r="D242" s="210"/>
      <c r="E242" s="210"/>
      <c r="F242" s="51"/>
      <c r="G242" s="51"/>
      <c r="H242" s="51"/>
      <c r="I242" s="51"/>
      <c r="J242" s="51"/>
      <c r="K242" s="51"/>
      <c r="L242" s="51"/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/>
      <c r="AC242" s="51"/>
      <c r="AD242" s="51"/>
    </row>
    <row r="243" spans="1:30" x14ac:dyDescent="0.25">
      <c r="A243" s="51"/>
      <c r="B243" s="51"/>
      <c r="C243" s="51"/>
      <c r="D243" s="210"/>
      <c r="E243" s="210"/>
      <c r="F243" s="51"/>
      <c r="G243" s="51"/>
      <c r="H243" s="51"/>
      <c r="I243" s="51"/>
      <c r="J243" s="51"/>
      <c r="K243" s="51"/>
      <c r="L243" s="51"/>
      <c r="M243" s="51"/>
      <c r="N243" s="51"/>
      <c r="O243" s="51"/>
      <c r="P243" s="51"/>
      <c r="Q243" s="51"/>
      <c r="R243" s="51"/>
      <c r="S243" s="51"/>
      <c r="T243" s="51"/>
      <c r="U243" s="51"/>
      <c r="V243" s="51"/>
      <c r="W243" s="51"/>
      <c r="X243" s="51"/>
      <c r="Y243" s="51"/>
      <c r="Z243" s="51"/>
      <c r="AA243" s="51"/>
      <c r="AB243" s="51"/>
      <c r="AC243" s="51"/>
      <c r="AD243" s="51"/>
    </row>
    <row r="244" spans="1:30" x14ac:dyDescent="0.25">
      <c r="A244" s="51"/>
      <c r="B244" s="51"/>
      <c r="C244" s="51"/>
      <c r="D244" s="210"/>
      <c r="E244" s="210"/>
      <c r="F244" s="51"/>
      <c r="G244" s="51"/>
      <c r="H244" s="51"/>
      <c r="I244" s="51"/>
      <c r="J244" s="51"/>
      <c r="K244" s="51"/>
      <c r="L244" s="51"/>
      <c r="M244" s="51"/>
      <c r="N244" s="51"/>
      <c r="O244" s="51"/>
      <c r="P244" s="51"/>
      <c r="Q244" s="51"/>
      <c r="R244" s="51"/>
      <c r="S244" s="51"/>
      <c r="T244" s="51"/>
      <c r="U244" s="51"/>
      <c r="V244" s="51"/>
      <c r="W244" s="51"/>
      <c r="X244" s="51"/>
      <c r="Y244" s="51"/>
      <c r="Z244" s="51"/>
      <c r="AA244" s="51"/>
      <c r="AB244" s="51"/>
      <c r="AC244" s="51"/>
      <c r="AD244" s="51"/>
    </row>
    <row r="245" spans="1:30" x14ac:dyDescent="0.25">
      <c r="A245" s="51"/>
      <c r="B245" s="51"/>
      <c r="C245" s="51"/>
      <c r="D245" s="210"/>
      <c r="E245" s="210"/>
      <c r="F245" s="51"/>
      <c r="G245" s="51"/>
      <c r="H245" s="51"/>
      <c r="I245" s="51"/>
      <c r="J245" s="51"/>
      <c r="K245" s="51"/>
      <c r="L245" s="51"/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1"/>
      <c r="AB245" s="51"/>
      <c r="AC245" s="51"/>
      <c r="AD245" s="51"/>
    </row>
    <row r="246" spans="1:30" x14ac:dyDescent="0.25">
      <c r="A246" s="51"/>
      <c r="B246" s="51"/>
      <c r="C246" s="51"/>
      <c r="D246" s="210"/>
      <c r="E246" s="210"/>
      <c r="F246" s="51"/>
      <c r="G246" s="51"/>
      <c r="H246" s="51"/>
      <c r="I246" s="51"/>
      <c r="J246" s="51"/>
      <c r="K246" s="51"/>
      <c r="L246" s="51"/>
      <c r="M246" s="51"/>
      <c r="N246" s="51"/>
      <c r="O246" s="51"/>
      <c r="P246" s="51"/>
      <c r="Q246" s="51"/>
      <c r="R246" s="51"/>
      <c r="S246" s="51"/>
      <c r="T246" s="51"/>
      <c r="U246" s="51"/>
      <c r="V246" s="51"/>
      <c r="W246" s="51"/>
      <c r="X246" s="51"/>
      <c r="Y246" s="51"/>
      <c r="Z246" s="51"/>
      <c r="AA246" s="51"/>
      <c r="AB246" s="51"/>
      <c r="AC246" s="51"/>
      <c r="AD246" s="51"/>
    </row>
    <row r="247" spans="1:30" x14ac:dyDescent="0.25">
      <c r="A247" s="51"/>
      <c r="B247" s="51"/>
      <c r="C247" s="51"/>
      <c r="D247" s="210"/>
      <c r="E247" s="210"/>
      <c r="F247" s="51"/>
      <c r="G247" s="51"/>
      <c r="H247" s="51"/>
      <c r="I247" s="51"/>
      <c r="J247" s="51"/>
      <c r="K247" s="51"/>
      <c r="L247" s="51"/>
      <c r="M247" s="51"/>
      <c r="N247" s="51"/>
      <c r="O247" s="51"/>
      <c r="P247" s="51"/>
      <c r="Q247" s="51"/>
      <c r="R247" s="51"/>
      <c r="S247" s="51"/>
      <c r="T247" s="51"/>
      <c r="U247" s="51"/>
      <c r="V247" s="51"/>
      <c r="W247" s="51"/>
      <c r="X247" s="51"/>
      <c r="Y247" s="51"/>
      <c r="Z247" s="51"/>
      <c r="AA247" s="51"/>
      <c r="AB247" s="51"/>
      <c r="AC247" s="51"/>
      <c r="AD247" s="51"/>
    </row>
    <row r="248" spans="1:30" x14ac:dyDescent="0.25">
      <c r="A248" s="51"/>
      <c r="B248" s="51"/>
      <c r="C248" s="51"/>
      <c r="D248" s="210"/>
      <c r="E248" s="210"/>
      <c r="F248" s="51"/>
      <c r="G248" s="51"/>
      <c r="H248" s="51"/>
      <c r="I248" s="51"/>
      <c r="J248" s="51"/>
      <c r="K248" s="51"/>
      <c r="L248" s="51"/>
      <c r="M248" s="51"/>
      <c r="N248" s="51"/>
      <c r="O248" s="51"/>
      <c r="P248" s="51"/>
      <c r="Q248" s="51"/>
      <c r="R248" s="51"/>
      <c r="S248" s="51"/>
      <c r="T248" s="51"/>
      <c r="U248" s="51"/>
      <c r="V248" s="51"/>
      <c r="W248" s="51"/>
      <c r="X248" s="51"/>
      <c r="Y248" s="51"/>
      <c r="Z248" s="51"/>
      <c r="AA248" s="51"/>
      <c r="AB248" s="51"/>
      <c r="AC248" s="51"/>
      <c r="AD248" s="51"/>
    </row>
    <row r="249" spans="1:30" x14ac:dyDescent="0.25">
      <c r="A249" s="51"/>
      <c r="B249" s="51"/>
      <c r="C249" s="51"/>
      <c r="D249" s="210"/>
      <c r="E249" s="210"/>
      <c r="F249" s="51"/>
      <c r="G249" s="51"/>
      <c r="H249" s="51"/>
      <c r="I249" s="51"/>
      <c r="J249" s="51"/>
      <c r="K249" s="51"/>
      <c r="L249" s="51"/>
      <c r="M249" s="51"/>
      <c r="N249" s="51"/>
      <c r="O249" s="51"/>
      <c r="P249" s="51"/>
      <c r="Q249" s="51"/>
      <c r="R249" s="51"/>
      <c r="S249" s="51"/>
      <c r="T249" s="51"/>
      <c r="U249" s="51"/>
      <c r="V249" s="51"/>
      <c r="W249" s="51"/>
      <c r="X249" s="51"/>
      <c r="Y249" s="51"/>
      <c r="Z249" s="51"/>
      <c r="AA249" s="51"/>
      <c r="AB249" s="51"/>
      <c r="AC249" s="51"/>
      <c r="AD249" s="51"/>
    </row>
    <row r="250" spans="1:30" x14ac:dyDescent="0.25">
      <c r="A250" s="51"/>
      <c r="B250" s="51"/>
      <c r="C250" s="51"/>
      <c r="D250" s="210"/>
      <c r="E250" s="210"/>
      <c r="F250" s="51"/>
      <c r="G250" s="51"/>
      <c r="H250" s="51"/>
      <c r="I250" s="51"/>
      <c r="J250" s="51"/>
      <c r="K250" s="51"/>
      <c r="L250" s="51"/>
      <c r="M250" s="51"/>
      <c r="N250" s="51"/>
      <c r="O250" s="51"/>
      <c r="P250" s="51"/>
      <c r="Q250" s="51"/>
      <c r="R250" s="51"/>
      <c r="S250" s="51"/>
      <c r="T250" s="51"/>
      <c r="U250" s="51"/>
      <c r="V250" s="51"/>
      <c r="W250" s="51"/>
      <c r="X250" s="51"/>
      <c r="Y250" s="51"/>
      <c r="Z250" s="51"/>
      <c r="AA250" s="51"/>
      <c r="AB250" s="51"/>
      <c r="AC250" s="51"/>
      <c r="AD250" s="51"/>
    </row>
    <row r="251" spans="1:30" x14ac:dyDescent="0.25">
      <c r="A251" s="51"/>
      <c r="B251" s="51"/>
      <c r="C251" s="51"/>
      <c r="D251" s="210"/>
      <c r="E251" s="210"/>
      <c r="F251" s="51"/>
      <c r="G251" s="51"/>
      <c r="H251" s="51"/>
      <c r="I251" s="51"/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</row>
    <row r="252" spans="1:30" x14ac:dyDescent="0.25">
      <c r="A252" s="51"/>
      <c r="B252" s="51"/>
      <c r="C252" s="51"/>
      <c r="D252" s="210"/>
      <c r="E252" s="210"/>
      <c r="F252" s="51"/>
      <c r="G252" s="51"/>
      <c r="H252" s="51"/>
      <c r="I252" s="51"/>
      <c r="J252" s="51"/>
      <c r="K252" s="51"/>
      <c r="L252" s="51"/>
      <c r="M252" s="51"/>
      <c r="N252" s="51"/>
      <c r="O252" s="51"/>
      <c r="P252" s="51"/>
      <c r="Q252" s="51"/>
      <c r="R252" s="51"/>
      <c r="S252" s="51"/>
      <c r="T252" s="51"/>
      <c r="U252" s="51"/>
      <c r="V252" s="51"/>
      <c r="W252" s="51"/>
      <c r="X252" s="51"/>
      <c r="Y252" s="51"/>
      <c r="Z252" s="51"/>
      <c r="AA252" s="51"/>
      <c r="AB252" s="51"/>
      <c r="AC252" s="51"/>
      <c r="AD252" s="51"/>
    </row>
    <row r="253" spans="1:30" x14ac:dyDescent="0.25">
      <c r="A253" s="51"/>
      <c r="B253" s="51"/>
      <c r="C253" s="51"/>
      <c r="D253" s="210"/>
      <c r="E253" s="210"/>
      <c r="F253" s="51"/>
      <c r="G253" s="51"/>
      <c r="H253" s="51"/>
      <c r="I253" s="51"/>
      <c r="J253" s="51"/>
      <c r="K253" s="51"/>
      <c r="L253" s="51"/>
      <c r="M253" s="51"/>
      <c r="N253" s="51"/>
      <c r="O253" s="51"/>
      <c r="P253" s="51"/>
      <c r="Q253" s="51"/>
      <c r="R253" s="51"/>
      <c r="S253" s="51"/>
      <c r="T253" s="51"/>
      <c r="U253" s="51"/>
      <c r="V253" s="51"/>
      <c r="W253" s="51"/>
      <c r="X253" s="51"/>
      <c r="Y253" s="51"/>
      <c r="Z253" s="51"/>
      <c r="AA253" s="51"/>
      <c r="AB253" s="51"/>
      <c r="AC253" s="51"/>
      <c r="AD253" s="51"/>
    </row>
    <row r="254" spans="1:30" x14ac:dyDescent="0.25">
      <c r="A254" s="51"/>
      <c r="B254" s="51"/>
      <c r="C254" s="51"/>
      <c r="D254" s="210"/>
      <c r="E254" s="210"/>
      <c r="F254" s="51"/>
      <c r="G254" s="51"/>
      <c r="H254" s="51"/>
      <c r="I254" s="51"/>
      <c r="J254" s="51"/>
      <c r="K254" s="51"/>
      <c r="L254" s="51"/>
      <c r="M254" s="51"/>
      <c r="N254" s="51"/>
      <c r="O254" s="51"/>
      <c r="P254" s="51"/>
      <c r="Q254" s="51"/>
      <c r="R254" s="51"/>
      <c r="S254" s="51"/>
      <c r="T254" s="51"/>
      <c r="U254" s="51"/>
      <c r="V254" s="51"/>
      <c r="W254" s="51"/>
      <c r="X254" s="51"/>
      <c r="Y254" s="51"/>
      <c r="Z254" s="51"/>
      <c r="AA254" s="51"/>
      <c r="AB254" s="51"/>
      <c r="AC254" s="51"/>
      <c r="AD254" s="51"/>
    </row>
    <row r="255" spans="1:30" x14ac:dyDescent="0.25">
      <c r="A255" s="51"/>
      <c r="B255" s="51"/>
      <c r="C255" s="51"/>
      <c r="D255" s="210"/>
      <c r="E255" s="210"/>
      <c r="F255" s="51"/>
      <c r="G255" s="51"/>
      <c r="H255" s="51"/>
      <c r="I255" s="51"/>
      <c r="J255" s="51"/>
      <c r="K255" s="51"/>
      <c r="L255" s="51"/>
      <c r="M255" s="51"/>
      <c r="N255" s="51"/>
      <c r="O255" s="51"/>
      <c r="P255" s="51"/>
      <c r="Q255" s="51"/>
      <c r="R255" s="51"/>
      <c r="S255" s="51"/>
      <c r="T255" s="51"/>
      <c r="U255" s="51"/>
      <c r="V255" s="51"/>
      <c r="W255" s="51"/>
      <c r="X255" s="51"/>
      <c r="Y255" s="51"/>
      <c r="Z255" s="51"/>
      <c r="AA255" s="51"/>
      <c r="AB255" s="51"/>
      <c r="AC255" s="51"/>
      <c r="AD255" s="51"/>
    </row>
    <row r="256" spans="1:30" x14ac:dyDescent="0.25">
      <c r="A256" s="51"/>
      <c r="B256" s="51"/>
      <c r="C256" s="51"/>
      <c r="D256" s="210"/>
      <c r="E256" s="210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  <c r="S256" s="51"/>
      <c r="T256" s="51"/>
      <c r="U256" s="51"/>
      <c r="V256" s="51"/>
      <c r="W256" s="51"/>
      <c r="X256" s="51"/>
      <c r="Y256" s="51"/>
      <c r="Z256" s="51"/>
      <c r="AA256" s="51"/>
      <c r="AB256" s="51"/>
      <c r="AC256" s="51"/>
      <c r="AD256" s="51"/>
    </row>
    <row r="257" spans="1:30" x14ac:dyDescent="0.25">
      <c r="A257" s="51"/>
      <c r="B257" s="51"/>
      <c r="C257" s="51"/>
      <c r="D257" s="210"/>
      <c r="E257" s="210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</row>
    <row r="258" spans="1:30" x14ac:dyDescent="0.25">
      <c r="A258" s="51"/>
      <c r="B258" s="51"/>
      <c r="C258" s="51"/>
      <c r="D258" s="210"/>
      <c r="E258" s="210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  <c r="S258" s="51"/>
      <c r="T258" s="51"/>
      <c r="U258" s="51"/>
      <c r="V258" s="51"/>
      <c r="W258" s="51"/>
      <c r="X258" s="51"/>
      <c r="Y258" s="51"/>
      <c r="Z258" s="51"/>
      <c r="AA258" s="51"/>
      <c r="AB258" s="51"/>
      <c r="AC258" s="51"/>
      <c r="AD258" s="51"/>
    </row>
    <row r="259" spans="1:30" x14ac:dyDescent="0.25">
      <c r="A259" s="51"/>
      <c r="B259" s="51"/>
      <c r="C259" s="51"/>
      <c r="D259" s="210"/>
      <c r="E259" s="210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  <c r="S259" s="51"/>
      <c r="T259" s="51"/>
      <c r="U259" s="51"/>
      <c r="V259" s="51"/>
      <c r="W259" s="51"/>
      <c r="X259" s="51"/>
      <c r="Y259" s="51"/>
      <c r="Z259" s="51"/>
      <c r="AA259" s="51"/>
      <c r="AB259" s="51"/>
      <c r="AC259" s="51"/>
      <c r="AD259" s="51"/>
    </row>
    <row r="260" spans="1:30" x14ac:dyDescent="0.25">
      <c r="A260" s="51"/>
      <c r="B260" s="51"/>
      <c r="C260" s="51"/>
      <c r="D260" s="210"/>
      <c r="E260" s="210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</row>
    <row r="261" spans="1:30" x14ac:dyDescent="0.25">
      <c r="A261" s="51"/>
      <c r="B261" s="51"/>
      <c r="C261" s="51"/>
      <c r="D261" s="210"/>
      <c r="E261" s="210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  <c r="S261" s="51"/>
      <c r="T261" s="51"/>
      <c r="U261" s="51"/>
      <c r="V261" s="51"/>
      <c r="W261" s="51"/>
      <c r="X261" s="51"/>
      <c r="Y261" s="51"/>
      <c r="Z261" s="51"/>
      <c r="AA261" s="51"/>
      <c r="AB261" s="51"/>
      <c r="AC261" s="51"/>
      <c r="AD261" s="51"/>
    </row>
    <row r="262" spans="1:30" x14ac:dyDescent="0.25">
      <c r="A262" s="51"/>
      <c r="B262" s="51"/>
      <c r="C262" s="51"/>
      <c r="D262" s="210"/>
      <c r="E262" s="210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  <c r="S262" s="51"/>
      <c r="T262" s="51"/>
      <c r="U262" s="51"/>
      <c r="V262" s="51"/>
      <c r="W262" s="51"/>
      <c r="X262" s="51"/>
      <c r="Y262" s="51"/>
      <c r="Z262" s="51"/>
      <c r="AA262" s="51"/>
      <c r="AB262" s="51"/>
      <c r="AC262" s="51"/>
      <c r="AD262" s="51"/>
    </row>
    <row r="263" spans="1:30" x14ac:dyDescent="0.25">
      <c r="A263" s="51"/>
      <c r="B263" s="51"/>
      <c r="C263" s="51"/>
      <c r="D263" s="210"/>
      <c r="E263" s="210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</row>
    <row r="264" spans="1:30" x14ac:dyDescent="0.25">
      <c r="A264" s="51"/>
      <c r="B264" s="51"/>
      <c r="C264" s="51"/>
      <c r="D264" s="210"/>
      <c r="E264" s="210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  <c r="S264" s="51"/>
      <c r="T264" s="51"/>
      <c r="U264" s="51"/>
      <c r="V264" s="51"/>
      <c r="W264" s="51"/>
      <c r="X264" s="51"/>
      <c r="Y264" s="51"/>
      <c r="Z264" s="51"/>
      <c r="AA264" s="51"/>
      <c r="AB264" s="51"/>
      <c r="AC264" s="51"/>
      <c r="AD264" s="51"/>
    </row>
    <row r="265" spans="1:30" x14ac:dyDescent="0.25">
      <c r="A265" s="51"/>
      <c r="B265" s="51"/>
      <c r="C265" s="51"/>
      <c r="D265" s="210"/>
      <c r="E265" s="210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1"/>
      <c r="AB265" s="51"/>
      <c r="AC265" s="51"/>
      <c r="AD265" s="51"/>
    </row>
    <row r="266" spans="1:30" x14ac:dyDescent="0.25">
      <c r="A266" s="51"/>
      <c r="B266" s="51"/>
      <c r="C266" s="51"/>
      <c r="D266" s="210"/>
      <c r="E266" s="210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  <c r="S266" s="51"/>
      <c r="T266" s="51"/>
      <c r="U266" s="51"/>
      <c r="V266" s="51"/>
      <c r="W266" s="51"/>
      <c r="X266" s="51"/>
      <c r="Y266" s="51"/>
      <c r="Z266" s="51"/>
      <c r="AA266" s="51"/>
      <c r="AB266" s="51"/>
      <c r="AC266" s="51"/>
      <c r="AD266" s="51"/>
    </row>
    <row r="267" spans="1:30" x14ac:dyDescent="0.25">
      <c r="A267" s="51"/>
      <c r="B267" s="51"/>
      <c r="C267" s="51"/>
      <c r="D267" s="210"/>
      <c r="E267" s="210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  <c r="S267" s="51"/>
      <c r="T267" s="51"/>
      <c r="U267" s="51"/>
      <c r="V267" s="51"/>
      <c r="W267" s="51"/>
      <c r="X267" s="51"/>
      <c r="Y267" s="51"/>
      <c r="Z267" s="51"/>
      <c r="AA267" s="51"/>
      <c r="AB267" s="51"/>
      <c r="AC267" s="51"/>
      <c r="AD267" s="51"/>
    </row>
    <row r="268" spans="1:30" x14ac:dyDescent="0.25">
      <c r="A268" s="51"/>
      <c r="B268" s="51"/>
      <c r="C268" s="51"/>
      <c r="D268" s="210"/>
      <c r="E268" s="210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  <c r="S268" s="51"/>
      <c r="T268" s="51"/>
      <c r="U268" s="51"/>
      <c r="V268" s="51"/>
      <c r="W268" s="51"/>
      <c r="X268" s="51"/>
      <c r="Y268" s="51"/>
      <c r="Z268" s="51"/>
      <c r="AA268" s="51"/>
      <c r="AB268" s="51"/>
      <c r="AC268" s="51"/>
      <c r="AD268" s="51"/>
    </row>
    <row r="269" spans="1:30" x14ac:dyDescent="0.25">
      <c r="A269" s="51"/>
      <c r="B269" s="51"/>
      <c r="C269" s="51"/>
      <c r="D269" s="210"/>
      <c r="E269" s="210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</row>
    <row r="270" spans="1:30" x14ac:dyDescent="0.25">
      <c r="A270" s="51"/>
      <c r="B270" s="51"/>
      <c r="C270" s="51"/>
      <c r="D270" s="210"/>
      <c r="E270" s="210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  <c r="S270" s="51"/>
      <c r="T270" s="51"/>
      <c r="U270" s="51"/>
      <c r="V270" s="51"/>
      <c r="W270" s="51"/>
      <c r="X270" s="51"/>
      <c r="Y270" s="51"/>
      <c r="Z270" s="51"/>
      <c r="AA270" s="51"/>
      <c r="AB270" s="51"/>
      <c r="AC270" s="51"/>
      <c r="AD270" s="51"/>
    </row>
    <row r="271" spans="1:30" x14ac:dyDescent="0.25">
      <c r="A271" s="51"/>
      <c r="B271" s="51"/>
      <c r="C271" s="51"/>
      <c r="D271" s="210"/>
      <c r="E271" s="210"/>
      <c r="F271" s="51"/>
      <c r="G271" s="51"/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  <c r="S271" s="51"/>
      <c r="T271" s="51"/>
      <c r="U271" s="51"/>
      <c r="V271" s="51"/>
      <c r="W271" s="51"/>
      <c r="X271" s="51"/>
      <c r="Y271" s="51"/>
      <c r="Z271" s="51"/>
      <c r="AA271" s="51"/>
      <c r="AB271" s="51"/>
      <c r="AC271" s="51"/>
      <c r="AD271" s="51"/>
    </row>
    <row r="272" spans="1:30" x14ac:dyDescent="0.25">
      <c r="A272" s="51"/>
      <c r="B272" s="51"/>
      <c r="C272" s="51"/>
      <c r="D272" s="210"/>
      <c r="E272" s="210"/>
      <c r="F272" s="51"/>
      <c r="G272" s="51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  <c r="S272" s="51"/>
      <c r="T272" s="51"/>
      <c r="U272" s="51"/>
      <c r="V272" s="51"/>
      <c r="W272" s="51"/>
      <c r="X272" s="51"/>
      <c r="Y272" s="51"/>
      <c r="Z272" s="51"/>
      <c r="AA272" s="51"/>
      <c r="AB272" s="51"/>
      <c r="AC272" s="51"/>
      <c r="AD272" s="51"/>
    </row>
    <row r="273" spans="1:30" x14ac:dyDescent="0.25">
      <c r="A273" s="51"/>
      <c r="B273" s="51"/>
      <c r="C273" s="51"/>
      <c r="D273" s="210"/>
      <c r="E273" s="210"/>
      <c r="F273" s="51"/>
      <c r="G273" s="51"/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  <c r="S273" s="51"/>
      <c r="T273" s="51"/>
      <c r="U273" s="51"/>
      <c r="V273" s="51"/>
      <c r="W273" s="51"/>
      <c r="X273" s="51"/>
      <c r="Y273" s="51"/>
      <c r="Z273" s="51"/>
      <c r="AA273" s="51"/>
      <c r="AB273" s="51"/>
      <c r="AC273" s="51"/>
      <c r="AD273" s="51"/>
    </row>
    <row r="274" spans="1:30" x14ac:dyDescent="0.25">
      <c r="A274" s="51"/>
      <c r="B274" s="51"/>
      <c r="C274" s="51"/>
      <c r="D274" s="210"/>
      <c r="E274" s="210"/>
      <c r="F274" s="51"/>
      <c r="G274" s="51"/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  <c r="S274" s="51"/>
      <c r="T274" s="51"/>
      <c r="U274" s="51"/>
      <c r="V274" s="51"/>
      <c r="W274" s="51"/>
      <c r="X274" s="51"/>
      <c r="Y274" s="51"/>
      <c r="Z274" s="51"/>
      <c r="AA274" s="51"/>
      <c r="AB274" s="51"/>
      <c r="AC274" s="51"/>
      <c r="AD274" s="51"/>
    </row>
    <row r="275" spans="1:30" x14ac:dyDescent="0.25">
      <c r="A275" s="51"/>
      <c r="B275" s="51"/>
      <c r="C275" s="51"/>
      <c r="D275" s="210"/>
      <c r="E275" s="210"/>
      <c r="F275" s="51"/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  <c r="S275" s="51"/>
      <c r="T275" s="51"/>
      <c r="U275" s="51"/>
      <c r="V275" s="51"/>
      <c r="W275" s="51"/>
      <c r="X275" s="51"/>
      <c r="Y275" s="51"/>
      <c r="Z275" s="51"/>
      <c r="AA275" s="51"/>
      <c r="AB275" s="51"/>
      <c r="AC275" s="51"/>
      <c r="AD275" s="51"/>
    </row>
    <row r="276" spans="1:30" x14ac:dyDescent="0.25">
      <c r="A276" s="51"/>
      <c r="B276" s="51"/>
      <c r="C276" s="51"/>
      <c r="D276" s="210"/>
      <c r="E276" s="210"/>
      <c r="F276" s="51"/>
      <c r="G276" s="51"/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  <c r="S276" s="51"/>
      <c r="T276" s="51"/>
      <c r="U276" s="51"/>
      <c r="V276" s="51"/>
      <c r="W276" s="51"/>
      <c r="X276" s="51"/>
      <c r="Y276" s="51"/>
      <c r="Z276" s="51"/>
      <c r="AA276" s="51"/>
      <c r="AB276" s="51"/>
      <c r="AC276" s="51"/>
      <c r="AD276" s="51"/>
    </row>
    <row r="277" spans="1:30" x14ac:dyDescent="0.25">
      <c r="A277" s="51"/>
      <c r="B277" s="51"/>
      <c r="C277" s="51"/>
      <c r="D277" s="210"/>
      <c r="E277" s="210"/>
      <c r="F277" s="51"/>
      <c r="G277" s="51"/>
      <c r="H277" s="51"/>
      <c r="I277" s="51"/>
      <c r="J277" s="51"/>
      <c r="K277" s="51"/>
      <c r="L277" s="51"/>
      <c r="M277" s="51"/>
      <c r="N277" s="51"/>
      <c r="O277" s="51"/>
      <c r="P277" s="51"/>
      <c r="Q277" s="51"/>
      <c r="R277" s="51"/>
      <c r="S277" s="51"/>
      <c r="T277" s="51"/>
      <c r="U277" s="51"/>
      <c r="V277" s="51"/>
      <c r="W277" s="51"/>
      <c r="X277" s="51"/>
      <c r="Y277" s="51"/>
      <c r="Z277" s="51"/>
      <c r="AA277" s="51"/>
      <c r="AB277" s="51"/>
      <c r="AC277" s="51"/>
      <c r="AD277" s="51"/>
    </row>
    <row r="278" spans="1:30" x14ac:dyDescent="0.25">
      <c r="A278" s="51"/>
      <c r="B278" s="51"/>
      <c r="C278" s="51"/>
      <c r="D278" s="210"/>
      <c r="E278" s="210"/>
      <c r="F278" s="51"/>
      <c r="G278" s="51"/>
      <c r="H278" s="51"/>
      <c r="I278" s="51"/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</row>
    <row r="279" spans="1:30" x14ac:dyDescent="0.25">
      <c r="A279" s="51"/>
      <c r="B279" s="51"/>
      <c r="C279" s="51"/>
      <c r="D279" s="210"/>
      <c r="E279" s="210"/>
      <c r="F279" s="51"/>
      <c r="G279" s="51"/>
      <c r="H279" s="51"/>
      <c r="I279" s="51"/>
      <c r="J279" s="51"/>
      <c r="K279" s="51"/>
      <c r="L279" s="51"/>
      <c r="M279" s="51"/>
      <c r="N279" s="51"/>
      <c r="O279" s="51"/>
      <c r="P279" s="51"/>
      <c r="Q279" s="51"/>
      <c r="R279" s="51"/>
      <c r="S279" s="51"/>
      <c r="T279" s="51"/>
      <c r="U279" s="51"/>
      <c r="V279" s="51"/>
      <c r="W279" s="51"/>
      <c r="X279" s="51"/>
      <c r="Y279" s="51"/>
      <c r="Z279" s="51"/>
      <c r="AA279" s="51"/>
      <c r="AB279" s="51"/>
      <c r="AC279" s="51"/>
      <c r="AD279" s="51"/>
    </row>
    <row r="280" spans="1:30" x14ac:dyDescent="0.25">
      <c r="A280" s="51"/>
      <c r="B280" s="51"/>
      <c r="C280" s="51"/>
      <c r="D280" s="210"/>
      <c r="E280" s="210"/>
      <c r="F280" s="51"/>
      <c r="G280" s="51"/>
      <c r="H280" s="51"/>
      <c r="I280" s="51"/>
      <c r="J280" s="51"/>
      <c r="K280" s="51"/>
      <c r="L280" s="51"/>
      <c r="M280" s="51"/>
      <c r="N280" s="51"/>
      <c r="O280" s="51"/>
      <c r="P280" s="51"/>
      <c r="Q280" s="51"/>
      <c r="R280" s="51"/>
      <c r="S280" s="51"/>
      <c r="T280" s="51"/>
      <c r="U280" s="51"/>
      <c r="V280" s="51"/>
      <c r="W280" s="51"/>
      <c r="X280" s="51"/>
      <c r="Y280" s="51"/>
      <c r="Z280" s="51"/>
      <c r="AA280" s="51"/>
      <c r="AB280" s="51"/>
      <c r="AC280" s="51"/>
      <c r="AD280" s="51"/>
    </row>
    <row r="281" spans="1:30" x14ac:dyDescent="0.25">
      <c r="A281" s="51"/>
      <c r="B281" s="51"/>
      <c r="C281" s="51"/>
      <c r="D281" s="210"/>
      <c r="E281" s="210"/>
      <c r="F281" s="51"/>
      <c r="G281" s="51"/>
      <c r="H281" s="51"/>
      <c r="I281" s="51"/>
      <c r="J281" s="51"/>
      <c r="K281" s="51"/>
      <c r="L281" s="51"/>
      <c r="M281" s="51"/>
      <c r="N281" s="51"/>
      <c r="O281" s="51"/>
      <c r="P281" s="51"/>
      <c r="Q281" s="51"/>
      <c r="R281" s="51"/>
      <c r="S281" s="51"/>
      <c r="T281" s="51"/>
      <c r="U281" s="51"/>
      <c r="V281" s="51"/>
      <c r="W281" s="51"/>
      <c r="X281" s="51"/>
      <c r="Y281" s="51"/>
      <c r="Z281" s="51"/>
      <c r="AA281" s="51"/>
      <c r="AB281" s="51"/>
      <c r="AC281" s="51"/>
      <c r="AD281" s="51"/>
    </row>
    <row r="282" spans="1:30" x14ac:dyDescent="0.25">
      <c r="A282" s="51"/>
      <c r="B282" s="51"/>
      <c r="C282" s="51"/>
      <c r="D282" s="210"/>
      <c r="E282" s="210"/>
      <c r="F282" s="51"/>
      <c r="G282" s="51"/>
      <c r="H282" s="51"/>
      <c r="I282" s="51"/>
      <c r="J282" s="51"/>
      <c r="K282" s="51"/>
      <c r="L282" s="51"/>
      <c r="M282" s="51"/>
      <c r="N282" s="51"/>
      <c r="O282" s="51"/>
      <c r="P282" s="51"/>
      <c r="Q282" s="51"/>
      <c r="R282" s="51"/>
      <c r="S282" s="51"/>
      <c r="T282" s="51"/>
      <c r="U282" s="51"/>
      <c r="V282" s="51"/>
      <c r="W282" s="51"/>
      <c r="X282" s="51"/>
      <c r="Y282" s="51"/>
      <c r="Z282" s="51"/>
      <c r="AA282" s="51"/>
      <c r="AB282" s="51"/>
      <c r="AC282" s="51"/>
      <c r="AD282" s="51"/>
    </row>
    <row r="283" spans="1:30" x14ac:dyDescent="0.25">
      <c r="A283" s="51"/>
      <c r="B283" s="51"/>
      <c r="C283" s="51"/>
      <c r="D283" s="210"/>
      <c r="E283" s="210"/>
      <c r="F283" s="51"/>
      <c r="G283" s="51"/>
      <c r="H283" s="51"/>
      <c r="I283" s="51"/>
      <c r="J283" s="51"/>
      <c r="K283" s="51"/>
      <c r="L283" s="51"/>
      <c r="M283" s="51"/>
      <c r="N283" s="51"/>
      <c r="O283" s="51"/>
      <c r="P283" s="51"/>
      <c r="Q283" s="51"/>
      <c r="R283" s="51"/>
      <c r="S283" s="51"/>
      <c r="T283" s="51"/>
      <c r="U283" s="51"/>
      <c r="V283" s="51"/>
      <c r="W283" s="51"/>
      <c r="X283" s="51"/>
      <c r="Y283" s="51"/>
      <c r="Z283" s="51"/>
      <c r="AA283" s="51"/>
      <c r="AB283" s="51"/>
      <c r="AC283" s="51"/>
      <c r="AD283" s="51"/>
    </row>
    <row r="284" spans="1:30" x14ac:dyDescent="0.25">
      <c r="A284" s="51"/>
      <c r="B284" s="51"/>
      <c r="C284" s="51"/>
      <c r="D284" s="210"/>
      <c r="E284" s="210"/>
      <c r="F284" s="51"/>
      <c r="G284" s="51"/>
      <c r="H284" s="51"/>
      <c r="I284" s="51"/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</row>
    <row r="285" spans="1:30" x14ac:dyDescent="0.25">
      <c r="A285" s="51"/>
      <c r="B285" s="51"/>
      <c r="C285" s="51"/>
      <c r="D285" s="210"/>
      <c r="E285" s="210"/>
      <c r="F285" s="51"/>
      <c r="G285" s="51"/>
      <c r="H285" s="51"/>
      <c r="I285" s="51"/>
      <c r="J285" s="51"/>
      <c r="K285" s="51"/>
      <c r="L285" s="51"/>
      <c r="M285" s="51"/>
      <c r="N285" s="51"/>
      <c r="O285" s="51"/>
      <c r="P285" s="51"/>
      <c r="Q285" s="51"/>
      <c r="R285" s="51"/>
      <c r="S285" s="51"/>
      <c r="T285" s="51"/>
      <c r="U285" s="51"/>
      <c r="V285" s="51"/>
      <c r="W285" s="51"/>
      <c r="X285" s="51"/>
      <c r="Y285" s="51"/>
      <c r="Z285" s="51"/>
      <c r="AA285" s="51"/>
      <c r="AB285" s="51"/>
      <c r="AC285" s="51"/>
      <c r="AD285" s="51"/>
    </row>
    <row r="286" spans="1:30" x14ac:dyDescent="0.25">
      <c r="A286" s="51"/>
      <c r="B286" s="51"/>
      <c r="C286" s="51"/>
      <c r="D286" s="210"/>
      <c r="E286" s="210"/>
      <c r="F286" s="51"/>
      <c r="G286" s="51"/>
      <c r="H286" s="51"/>
      <c r="I286" s="51"/>
      <c r="J286" s="51"/>
      <c r="K286" s="51"/>
      <c r="L286" s="51"/>
      <c r="M286" s="51"/>
      <c r="N286" s="51"/>
      <c r="O286" s="51"/>
      <c r="P286" s="51"/>
      <c r="Q286" s="51"/>
      <c r="R286" s="51"/>
      <c r="S286" s="51"/>
      <c r="T286" s="51"/>
      <c r="U286" s="51"/>
      <c r="V286" s="51"/>
      <c r="W286" s="51"/>
      <c r="X286" s="51"/>
      <c r="Y286" s="51"/>
      <c r="Z286" s="51"/>
      <c r="AA286" s="51"/>
      <c r="AB286" s="51"/>
      <c r="AC286" s="51"/>
      <c r="AD286" s="51"/>
    </row>
    <row r="287" spans="1:30" x14ac:dyDescent="0.25">
      <c r="A287" s="51"/>
      <c r="B287" s="51"/>
      <c r="C287" s="51"/>
      <c r="D287" s="210"/>
      <c r="E287" s="210"/>
      <c r="F287" s="51"/>
      <c r="G287" s="51"/>
      <c r="H287" s="51"/>
      <c r="I287" s="51"/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</row>
    <row r="288" spans="1:30" x14ac:dyDescent="0.25">
      <c r="A288" s="51"/>
      <c r="B288" s="51"/>
      <c r="C288" s="51"/>
      <c r="D288" s="210"/>
      <c r="E288" s="210"/>
      <c r="F288" s="51"/>
      <c r="G288" s="51"/>
      <c r="H288" s="51"/>
      <c r="I288" s="51"/>
      <c r="J288" s="51"/>
      <c r="K288" s="51"/>
      <c r="L288" s="51"/>
      <c r="M288" s="51"/>
      <c r="N288" s="51"/>
      <c r="O288" s="51"/>
      <c r="P288" s="51"/>
      <c r="Q288" s="51"/>
      <c r="R288" s="51"/>
      <c r="S288" s="51"/>
      <c r="T288" s="51"/>
      <c r="U288" s="51"/>
      <c r="V288" s="51"/>
      <c r="W288" s="51"/>
      <c r="X288" s="51"/>
      <c r="Y288" s="51"/>
      <c r="Z288" s="51"/>
      <c r="AA288" s="51"/>
      <c r="AB288" s="51"/>
      <c r="AC288" s="51"/>
      <c r="AD288" s="51"/>
    </row>
    <row r="289" spans="1:30" x14ac:dyDescent="0.25">
      <c r="A289" s="51"/>
      <c r="B289" s="51"/>
      <c r="C289" s="51"/>
      <c r="D289" s="210"/>
      <c r="E289" s="210"/>
      <c r="F289" s="51"/>
      <c r="G289" s="51"/>
      <c r="H289" s="51"/>
      <c r="I289" s="51"/>
      <c r="J289" s="51"/>
      <c r="K289" s="51"/>
      <c r="L289" s="51"/>
      <c r="M289" s="51"/>
      <c r="N289" s="51"/>
      <c r="O289" s="51"/>
      <c r="P289" s="51"/>
      <c r="Q289" s="51"/>
      <c r="R289" s="51"/>
      <c r="S289" s="51"/>
      <c r="T289" s="51"/>
      <c r="U289" s="51"/>
      <c r="V289" s="51"/>
      <c r="W289" s="51"/>
      <c r="X289" s="51"/>
      <c r="Y289" s="51"/>
      <c r="Z289" s="51"/>
      <c r="AA289" s="51"/>
      <c r="AB289" s="51"/>
      <c r="AC289" s="51"/>
      <c r="AD289" s="51"/>
    </row>
    <row r="290" spans="1:30" x14ac:dyDescent="0.25">
      <c r="A290" s="51"/>
      <c r="B290" s="51"/>
      <c r="C290" s="51"/>
      <c r="D290" s="210"/>
      <c r="E290" s="210"/>
      <c r="F290" s="51"/>
      <c r="G290" s="51"/>
      <c r="H290" s="51"/>
      <c r="I290" s="51"/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</row>
    <row r="291" spans="1:30" x14ac:dyDescent="0.25">
      <c r="A291" s="51"/>
      <c r="B291" s="51"/>
      <c r="C291" s="51"/>
      <c r="D291" s="210"/>
      <c r="E291" s="210"/>
      <c r="F291" s="51"/>
      <c r="G291" s="51"/>
      <c r="H291" s="51"/>
      <c r="I291" s="51"/>
      <c r="J291" s="51"/>
      <c r="K291" s="51"/>
      <c r="L291" s="51"/>
      <c r="M291" s="51"/>
      <c r="N291" s="51"/>
      <c r="O291" s="51"/>
      <c r="P291" s="51"/>
      <c r="Q291" s="51"/>
      <c r="R291" s="51"/>
      <c r="S291" s="51"/>
      <c r="T291" s="51"/>
      <c r="U291" s="51"/>
      <c r="V291" s="51"/>
      <c r="W291" s="51"/>
      <c r="X291" s="51"/>
      <c r="Y291" s="51"/>
      <c r="Z291" s="51"/>
      <c r="AA291" s="51"/>
      <c r="AB291" s="51"/>
      <c r="AC291" s="51"/>
      <c r="AD291" s="51"/>
    </row>
    <row r="292" spans="1:30" x14ac:dyDescent="0.25">
      <c r="A292" s="51"/>
      <c r="B292" s="51"/>
      <c r="C292" s="51"/>
      <c r="D292" s="210"/>
      <c r="E292" s="210"/>
      <c r="F292" s="51"/>
      <c r="G292" s="51"/>
      <c r="H292" s="51"/>
      <c r="I292" s="51"/>
      <c r="J292" s="51"/>
      <c r="K292" s="51"/>
      <c r="L292" s="51"/>
      <c r="M292" s="51"/>
      <c r="N292" s="51"/>
      <c r="O292" s="51"/>
      <c r="P292" s="51"/>
      <c r="Q292" s="51"/>
      <c r="R292" s="51"/>
      <c r="S292" s="51"/>
      <c r="T292" s="51"/>
      <c r="U292" s="51"/>
      <c r="V292" s="51"/>
      <c r="W292" s="51"/>
      <c r="X292" s="51"/>
      <c r="Y292" s="51"/>
      <c r="Z292" s="51"/>
      <c r="AA292" s="51"/>
      <c r="AB292" s="51"/>
      <c r="AC292" s="51"/>
      <c r="AD292" s="51"/>
    </row>
    <row r="293" spans="1:30" x14ac:dyDescent="0.25">
      <c r="A293" s="51"/>
      <c r="B293" s="51"/>
      <c r="C293" s="51"/>
      <c r="D293" s="210"/>
      <c r="E293" s="210"/>
      <c r="F293" s="51"/>
      <c r="G293" s="51"/>
      <c r="H293" s="51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</row>
    <row r="294" spans="1:30" x14ac:dyDescent="0.25">
      <c r="A294" s="51"/>
      <c r="B294" s="51"/>
      <c r="C294" s="51"/>
      <c r="D294" s="210"/>
      <c r="E294" s="210"/>
      <c r="F294" s="51"/>
      <c r="G294" s="51"/>
      <c r="H294" s="51"/>
      <c r="I294" s="51"/>
      <c r="J294" s="51"/>
      <c r="K294" s="51"/>
      <c r="L294" s="51"/>
      <c r="M294" s="51"/>
      <c r="N294" s="51"/>
      <c r="O294" s="51"/>
      <c r="P294" s="51"/>
      <c r="Q294" s="51"/>
      <c r="R294" s="51"/>
      <c r="S294" s="51"/>
      <c r="T294" s="51"/>
      <c r="U294" s="51"/>
      <c r="V294" s="51"/>
      <c r="W294" s="51"/>
      <c r="X294" s="51"/>
      <c r="Y294" s="51"/>
      <c r="Z294" s="51"/>
      <c r="AA294" s="51"/>
      <c r="AB294" s="51"/>
      <c r="AC294" s="51"/>
      <c r="AD294" s="51"/>
    </row>
    <row r="295" spans="1:30" x14ac:dyDescent="0.25">
      <c r="A295" s="51"/>
      <c r="B295" s="51"/>
      <c r="C295" s="51"/>
      <c r="D295" s="210"/>
      <c r="E295" s="210"/>
      <c r="F295" s="51"/>
      <c r="G295" s="51"/>
      <c r="H295" s="51"/>
      <c r="I295" s="51"/>
      <c r="J295" s="51"/>
      <c r="K295" s="51"/>
      <c r="L295" s="51"/>
      <c r="M295" s="51"/>
      <c r="N295" s="51"/>
      <c r="O295" s="51"/>
      <c r="P295" s="51"/>
      <c r="Q295" s="51"/>
      <c r="R295" s="51"/>
      <c r="S295" s="51"/>
      <c r="T295" s="51"/>
      <c r="U295" s="51"/>
      <c r="V295" s="51"/>
      <c r="W295" s="51"/>
      <c r="X295" s="51"/>
      <c r="Y295" s="51"/>
      <c r="Z295" s="51"/>
      <c r="AA295" s="51"/>
      <c r="AB295" s="51"/>
      <c r="AC295" s="51"/>
      <c r="AD295" s="51"/>
    </row>
    <row r="296" spans="1:30" x14ac:dyDescent="0.25">
      <c r="A296" s="51"/>
      <c r="B296" s="51"/>
      <c r="C296" s="51"/>
      <c r="D296" s="210"/>
      <c r="E296" s="210"/>
      <c r="F296" s="51"/>
      <c r="G296" s="51"/>
      <c r="H296" s="51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</row>
    <row r="297" spans="1:30" x14ac:dyDescent="0.25">
      <c r="A297" s="51"/>
      <c r="B297" s="51"/>
      <c r="C297" s="51"/>
      <c r="D297" s="210"/>
      <c r="E297" s="210"/>
      <c r="F297" s="51"/>
      <c r="G297" s="51"/>
      <c r="H297" s="51"/>
      <c r="I297" s="51"/>
      <c r="J297" s="51"/>
      <c r="K297" s="51"/>
      <c r="L297" s="51"/>
      <c r="M297" s="51"/>
      <c r="N297" s="51"/>
      <c r="O297" s="51"/>
      <c r="P297" s="51"/>
      <c r="Q297" s="51"/>
      <c r="R297" s="51"/>
      <c r="S297" s="51"/>
      <c r="T297" s="51"/>
      <c r="U297" s="51"/>
      <c r="V297" s="51"/>
      <c r="W297" s="51"/>
      <c r="X297" s="51"/>
      <c r="Y297" s="51"/>
      <c r="Z297" s="51"/>
      <c r="AA297" s="51"/>
      <c r="AB297" s="51"/>
      <c r="AC297" s="51"/>
      <c r="AD297" s="51"/>
    </row>
    <row r="298" spans="1:30" x14ac:dyDescent="0.25">
      <c r="A298" s="51"/>
      <c r="B298" s="51"/>
      <c r="C298" s="51"/>
      <c r="D298" s="210"/>
      <c r="E298" s="210"/>
      <c r="F298" s="51"/>
      <c r="G298" s="51"/>
      <c r="H298" s="51"/>
      <c r="I298" s="51"/>
      <c r="J298" s="51"/>
      <c r="K298" s="51"/>
      <c r="L298" s="51"/>
      <c r="M298" s="51"/>
      <c r="N298" s="51"/>
      <c r="O298" s="51"/>
      <c r="P298" s="51"/>
      <c r="Q298" s="51"/>
      <c r="R298" s="51"/>
      <c r="S298" s="51"/>
      <c r="T298" s="51"/>
      <c r="U298" s="51"/>
      <c r="V298" s="51"/>
      <c r="W298" s="51"/>
      <c r="X298" s="51"/>
      <c r="Y298" s="51"/>
      <c r="Z298" s="51"/>
      <c r="AA298" s="51"/>
      <c r="AB298" s="51"/>
      <c r="AC298" s="51"/>
      <c r="AD298" s="51"/>
    </row>
    <row r="299" spans="1:30" x14ac:dyDescent="0.25">
      <c r="A299" s="51"/>
      <c r="B299" s="51"/>
      <c r="C299" s="51"/>
      <c r="D299" s="210"/>
      <c r="E299" s="210"/>
      <c r="F299" s="51"/>
      <c r="G299" s="51"/>
      <c r="H299" s="51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</row>
    <row r="300" spans="1:30" x14ac:dyDescent="0.25">
      <c r="A300" s="51"/>
      <c r="B300" s="51"/>
      <c r="C300" s="51"/>
      <c r="D300" s="210"/>
      <c r="E300" s="210"/>
      <c r="F300" s="51"/>
      <c r="G300" s="51"/>
      <c r="H300" s="51"/>
      <c r="I300" s="51"/>
      <c r="J300" s="51"/>
      <c r="K300" s="51"/>
      <c r="L300" s="51"/>
      <c r="M300" s="51"/>
      <c r="N300" s="51"/>
      <c r="O300" s="51"/>
      <c r="P300" s="51"/>
      <c r="Q300" s="51"/>
      <c r="R300" s="51"/>
      <c r="S300" s="51"/>
      <c r="T300" s="51"/>
      <c r="U300" s="51"/>
      <c r="V300" s="51"/>
      <c r="W300" s="51"/>
      <c r="X300" s="51"/>
      <c r="Y300" s="51"/>
      <c r="Z300" s="51"/>
      <c r="AA300" s="51"/>
      <c r="AB300" s="51"/>
      <c r="AC300" s="51"/>
      <c r="AD300" s="51"/>
    </row>
    <row r="301" spans="1:30" x14ac:dyDescent="0.25">
      <c r="A301" s="51"/>
      <c r="B301" s="51"/>
      <c r="C301" s="51"/>
      <c r="D301" s="210"/>
      <c r="E301" s="210"/>
      <c r="F301" s="51"/>
      <c r="G301" s="51"/>
      <c r="H301" s="51"/>
      <c r="I301" s="51"/>
      <c r="J301" s="51"/>
      <c r="K301" s="51"/>
      <c r="L301" s="51"/>
      <c r="M301" s="51"/>
      <c r="N301" s="51"/>
      <c r="O301" s="51"/>
      <c r="P301" s="51"/>
      <c r="Q301" s="51"/>
      <c r="R301" s="51"/>
      <c r="S301" s="51"/>
      <c r="T301" s="51"/>
      <c r="U301" s="51"/>
      <c r="V301" s="51"/>
      <c r="W301" s="51"/>
      <c r="X301" s="51"/>
      <c r="Y301" s="51"/>
      <c r="Z301" s="51"/>
      <c r="AA301" s="51"/>
      <c r="AB301" s="51"/>
      <c r="AC301" s="51"/>
      <c r="AD301" s="51"/>
    </row>
    <row r="302" spans="1:30" x14ac:dyDescent="0.25">
      <c r="A302" s="51"/>
      <c r="B302" s="51"/>
      <c r="C302" s="51"/>
      <c r="D302" s="210"/>
      <c r="E302" s="210"/>
      <c r="F302" s="51"/>
      <c r="G302" s="51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</row>
    <row r="303" spans="1:30" x14ac:dyDescent="0.25">
      <c r="A303" s="51"/>
      <c r="B303" s="51"/>
      <c r="C303" s="51"/>
      <c r="D303" s="210"/>
      <c r="E303" s="210"/>
      <c r="F303" s="51"/>
      <c r="G303" s="51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  <c r="S303" s="51"/>
      <c r="T303" s="51"/>
      <c r="U303" s="51"/>
      <c r="V303" s="51"/>
      <c r="W303" s="51"/>
      <c r="X303" s="51"/>
      <c r="Y303" s="51"/>
      <c r="Z303" s="51"/>
      <c r="AA303" s="51"/>
      <c r="AB303" s="51"/>
      <c r="AC303" s="51"/>
      <c r="AD303" s="51"/>
    </row>
    <row r="304" spans="1:30" x14ac:dyDescent="0.25">
      <c r="A304" s="51"/>
      <c r="B304" s="51"/>
      <c r="C304" s="51"/>
      <c r="D304" s="210"/>
      <c r="E304" s="210"/>
      <c r="F304" s="51"/>
      <c r="G304" s="51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  <c r="S304" s="51"/>
      <c r="T304" s="51"/>
      <c r="U304" s="51"/>
      <c r="V304" s="51"/>
      <c r="W304" s="51"/>
      <c r="X304" s="51"/>
      <c r="Y304" s="51"/>
      <c r="Z304" s="51"/>
      <c r="AA304" s="51"/>
      <c r="AB304" s="51"/>
      <c r="AC304" s="51"/>
      <c r="AD304" s="51"/>
    </row>
    <row r="305" spans="1:30" x14ac:dyDescent="0.25">
      <c r="A305" s="51"/>
      <c r="B305" s="51"/>
      <c r="C305" s="51"/>
      <c r="D305" s="210"/>
      <c r="E305" s="210"/>
      <c r="F305" s="51"/>
      <c r="G305" s="51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</row>
    <row r="306" spans="1:30" x14ac:dyDescent="0.25">
      <c r="A306" s="51"/>
      <c r="B306" s="51"/>
      <c r="C306" s="51"/>
      <c r="D306" s="210"/>
      <c r="E306" s="210"/>
      <c r="F306" s="51"/>
      <c r="G306" s="51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  <c r="S306" s="51"/>
      <c r="T306" s="51"/>
      <c r="U306" s="51"/>
      <c r="V306" s="51"/>
      <c r="W306" s="51"/>
      <c r="X306" s="51"/>
      <c r="Y306" s="51"/>
      <c r="Z306" s="51"/>
      <c r="AA306" s="51"/>
      <c r="AB306" s="51"/>
      <c r="AC306" s="51"/>
      <c r="AD306" s="51"/>
    </row>
    <row r="307" spans="1:30" x14ac:dyDescent="0.25">
      <c r="A307" s="51"/>
      <c r="B307" s="51"/>
      <c r="C307" s="51"/>
      <c r="D307" s="210"/>
      <c r="E307" s="210"/>
      <c r="F307" s="51"/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  <c r="S307" s="51"/>
      <c r="T307" s="51"/>
      <c r="U307" s="51"/>
      <c r="V307" s="51"/>
      <c r="W307" s="51"/>
      <c r="X307" s="51"/>
      <c r="Y307" s="51"/>
      <c r="Z307" s="51"/>
      <c r="AA307" s="51"/>
      <c r="AB307" s="51"/>
      <c r="AC307" s="51"/>
      <c r="AD307" s="51"/>
    </row>
    <row r="308" spans="1:30" x14ac:dyDescent="0.25">
      <c r="A308" s="51"/>
      <c r="B308" s="51"/>
      <c r="C308" s="51"/>
      <c r="D308" s="210"/>
      <c r="E308" s="210"/>
      <c r="F308" s="51"/>
      <c r="G308" s="51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</row>
    <row r="309" spans="1:30" x14ac:dyDescent="0.25">
      <c r="A309" s="51"/>
      <c r="B309" s="51"/>
      <c r="C309" s="51"/>
      <c r="D309" s="210"/>
      <c r="E309" s="210"/>
      <c r="F309" s="51"/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  <c r="S309" s="51"/>
      <c r="T309" s="51"/>
      <c r="U309" s="51"/>
      <c r="V309" s="51"/>
      <c r="W309" s="51"/>
      <c r="X309" s="51"/>
      <c r="Y309" s="51"/>
      <c r="Z309" s="51"/>
      <c r="AA309" s="51"/>
      <c r="AB309" s="51"/>
      <c r="AC309" s="51"/>
      <c r="AD309" s="51"/>
    </row>
    <row r="310" spans="1:30" x14ac:dyDescent="0.25">
      <c r="A310" s="51"/>
      <c r="B310" s="51"/>
      <c r="C310" s="51"/>
      <c r="D310" s="210"/>
      <c r="E310" s="210"/>
      <c r="F310" s="51"/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  <c r="S310" s="51"/>
      <c r="T310" s="51"/>
      <c r="U310" s="51"/>
      <c r="V310" s="51"/>
      <c r="W310" s="51"/>
      <c r="X310" s="51"/>
      <c r="Y310" s="51"/>
      <c r="Z310" s="51"/>
      <c r="AA310" s="51"/>
      <c r="AB310" s="51"/>
      <c r="AC310" s="51"/>
      <c r="AD310" s="51"/>
    </row>
    <row r="311" spans="1:30" x14ac:dyDescent="0.25">
      <c r="A311" s="51"/>
      <c r="B311" s="51"/>
      <c r="C311" s="51"/>
      <c r="D311" s="210"/>
      <c r="E311" s="210"/>
      <c r="F311" s="51"/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  <c r="S311" s="51"/>
      <c r="T311" s="51"/>
      <c r="U311" s="51"/>
      <c r="V311" s="51"/>
      <c r="W311" s="51"/>
      <c r="X311" s="51"/>
      <c r="Y311" s="51"/>
      <c r="Z311" s="51"/>
      <c r="AA311" s="51"/>
      <c r="AB311" s="51"/>
      <c r="AC311" s="51"/>
      <c r="AD311" s="51"/>
    </row>
    <row r="312" spans="1:30" x14ac:dyDescent="0.25">
      <c r="A312" s="51"/>
      <c r="B312" s="51"/>
      <c r="C312" s="51"/>
      <c r="D312" s="210"/>
      <c r="E312" s="210"/>
      <c r="F312" s="51"/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  <c r="S312" s="51"/>
      <c r="T312" s="51"/>
      <c r="U312" s="51"/>
      <c r="V312" s="51"/>
      <c r="W312" s="51"/>
      <c r="X312" s="51"/>
      <c r="Y312" s="51"/>
      <c r="Z312" s="51"/>
      <c r="AA312" s="51"/>
      <c r="AB312" s="51"/>
      <c r="AC312" s="51"/>
      <c r="AD312" s="51"/>
    </row>
    <row r="313" spans="1:30" x14ac:dyDescent="0.25">
      <c r="A313" s="51"/>
      <c r="B313" s="51"/>
      <c r="C313" s="51"/>
      <c r="D313" s="210"/>
      <c r="E313" s="210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  <c r="S313" s="51"/>
      <c r="T313" s="51"/>
      <c r="U313" s="51"/>
      <c r="V313" s="51"/>
      <c r="W313" s="51"/>
      <c r="X313" s="51"/>
      <c r="Y313" s="51"/>
      <c r="Z313" s="51"/>
      <c r="AA313" s="51"/>
      <c r="AB313" s="51"/>
      <c r="AC313" s="51"/>
      <c r="AD313" s="51"/>
    </row>
    <row r="314" spans="1:30" x14ac:dyDescent="0.25">
      <c r="A314" s="51"/>
      <c r="B314" s="51"/>
      <c r="C314" s="51"/>
      <c r="D314" s="210"/>
      <c r="E314" s="210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</row>
    <row r="315" spans="1:30" x14ac:dyDescent="0.25">
      <c r="A315" s="51"/>
      <c r="B315" s="51"/>
      <c r="C315" s="51"/>
      <c r="D315" s="210"/>
      <c r="E315" s="210"/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  <c r="S315" s="51"/>
      <c r="T315" s="51"/>
      <c r="U315" s="51"/>
      <c r="V315" s="51"/>
      <c r="W315" s="51"/>
      <c r="X315" s="51"/>
      <c r="Y315" s="51"/>
      <c r="Z315" s="51"/>
      <c r="AA315" s="51"/>
      <c r="AB315" s="51"/>
      <c r="AC315" s="51"/>
      <c r="AD315" s="51"/>
    </row>
    <row r="316" spans="1:30" x14ac:dyDescent="0.25">
      <c r="A316" s="51"/>
      <c r="B316" s="51"/>
      <c r="C316" s="51"/>
      <c r="D316" s="210"/>
      <c r="E316" s="210"/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  <c r="S316" s="51"/>
      <c r="T316" s="51"/>
      <c r="U316" s="51"/>
      <c r="V316" s="51"/>
      <c r="W316" s="51"/>
      <c r="X316" s="51"/>
      <c r="Y316" s="51"/>
      <c r="Z316" s="51"/>
      <c r="AA316" s="51"/>
      <c r="AB316" s="51"/>
      <c r="AC316" s="51"/>
      <c r="AD316" s="51"/>
    </row>
    <row r="317" spans="1:30" x14ac:dyDescent="0.25">
      <c r="A317" s="51"/>
      <c r="B317" s="51"/>
      <c r="C317" s="51"/>
      <c r="D317" s="210"/>
      <c r="E317" s="210"/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</row>
    <row r="318" spans="1:30" x14ac:dyDescent="0.25">
      <c r="A318" s="51"/>
      <c r="B318" s="51"/>
      <c r="C318" s="51"/>
      <c r="D318" s="210"/>
      <c r="E318" s="210"/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  <c r="S318" s="51"/>
      <c r="T318" s="51"/>
      <c r="U318" s="51"/>
      <c r="V318" s="51"/>
      <c r="W318" s="51"/>
      <c r="X318" s="51"/>
      <c r="Y318" s="51"/>
      <c r="Z318" s="51"/>
      <c r="AA318" s="51"/>
      <c r="AB318" s="51"/>
      <c r="AC318" s="51"/>
      <c r="AD318" s="51"/>
    </row>
    <row r="319" spans="1:30" x14ac:dyDescent="0.25">
      <c r="A319" s="51"/>
      <c r="B319" s="51"/>
      <c r="C319" s="51"/>
      <c r="D319" s="210"/>
      <c r="E319" s="210"/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  <c r="S319" s="51"/>
      <c r="T319" s="51"/>
      <c r="U319" s="51"/>
      <c r="V319" s="51"/>
      <c r="W319" s="51"/>
      <c r="X319" s="51"/>
      <c r="Y319" s="51"/>
      <c r="Z319" s="51"/>
      <c r="AA319" s="51"/>
      <c r="AB319" s="51"/>
      <c r="AC319" s="51"/>
      <c r="AD319" s="51"/>
    </row>
    <row r="320" spans="1:30" x14ac:dyDescent="0.25">
      <c r="A320" s="51"/>
      <c r="B320" s="51"/>
      <c r="C320" s="51"/>
      <c r="D320" s="210"/>
      <c r="E320" s="210"/>
      <c r="F320" s="51"/>
      <c r="G320" s="51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  <c r="S320" s="51"/>
      <c r="T320" s="51"/>
      <c r="U320" s="51"/>
      <c r="V320" s="51"/>
      <c r="W320" s="51"/>
      <c r="X320" s="51"/>
      <c r="Y320" s="51"/>
      <c r="Z320" s="51"/>
      <c r="AA320" s="51"/>
      <c r="AB320" s="51"/>
      <c r="AC320" s="51"/>
      <c r="AD320" s="51"/>
    </row>
    <row r="321" spans="1:30" x14ac:dyDescent="0.25">
      <c r="A321" s="51"/>
      <c r="B321" s="51"/>
      <c r="C321" s="51"/>
      <c r="D321" s="210"/>
      <c r="E321" s="210"/>
      <c r="F321" s="51"/>
      <c r="G321" s="51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  <c r="S321" s="51"/>
      <c r="T321" s="51"/>
      <c r="U321" s="51"/>
      <c r="V321" s="51"/>
      <c r="W321" s="51"/>
      <c r="X321" s="51"/>
      <c r="Y321" s="51"/>
      <c r="Z321" s="51"/>
      <c r="AA321" s="51"/>
      <c r="AB321" s="51"/>
      <c r="AC321" s="51"/>
      <c r="AD321" s="51"/>
    </row>
    <row r="322" spans="1:30" x14ac:dyDescent="0.25">
      <c r="A322" s="51"/>
      <c r="B322" s="51"/>
      <c r="C322" s="51"/>
      <c r="D322" s="210"/>
      <c r="E322" s="210"/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  <c r="S322" s="51"/>
      <c r="T322" s="51"/>
      <c r="U322" s="51"/>
      <c r="V322" s="51"/>
      <c r="W322" s="51"/>
      <c r="X322" s="51"/>
      <c r="Y322" s="51"/>
      <c r="Z322" s="51"/>
      <c r="AA322" s="51"/>
      <c r="AB322" s="51"/>
      <c r="AC322" s="51"/>
      <c r="AD322" s="51"/>
    </row>
    <row r="323" spans="1:30" x14ac:dyDescent="0.25">
      <c r="A323" s="51"/>
      <c r="B323" s="51"/>
      <c r="C323" s="51"/>
      <c r="D323" s="210"/>
      <c r="E323" s="210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</row>
    <row r="324" spans="1:30" x14ac:dyDescent="0.25">
      <c r="A324" s="51"/>
      <c r="B324" s="51"/>
      <c r="C324" s="51"/>
      <c r="D324" s="210"/>
      <c r="E324" s="210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  <c r="S324" s="51"/>
      <c r="T324" s="51"/>
      <c r="U324" s="51"/>
      <c r="V324" s="51"/>
      <c r="W324" s="51"/>
      <c r="X324" s="51"/>
      <c r="Y324" s="51"/>
      <c r="Z324" s="51"/>
      <c r="AA324" s="51"/>
      <c r="AB324" s="51"/>
      <c r="AC324" s="51"/>
      <c r="AD324" s="51"/>
    </row>
    <row r="325" spans="1:30" x14ac:dyDescent="0.25">
      <c r="A325" s="51"/>
      <c r="B325" s="51"/>
      <c r="C325" s="51"/>
      <c r="D325" s="210"/>
      <c r="E325" s="210"/>
      <c r="F325" s="51"/>
      <c r="G325" s="51"/>
      <c r="H325" s="51"/>
      <c r="I325" s="51"/>
      <c r="J325" s="51"/>
      <c r="K325" s="51"/>
      <c r="L325" s="51"/>
      <c r="M325" s="51"/>
      <c r="N325" s="51"/>
      <c r="O325" s="51"/>
      <c r="P325" s="51"/>
      <c r="Q325" s="51"/>
      <c r="R325" s="51"/>
      <c r="S325" s="51"/>
      <c r="T325" s="51"/>
      <c r="U325" s="51"/>
      <c r="V325" s="51"/>
      <c r="W325" s="51"/>
      <c r="X325" s="51"/>
      <c r="Y325" s="51"/>
      <c r="Z325" s="51"/>
      <c r="AA325" s="51"/>
      <c r="AB325" s="51"/>
      <c r="AC325" s="51"/>
      <c r="AD325" s="51"/>
    </row>
    <row r="326" spans="1:30" x14ac:dyDescent="0.25">
      <c r="A326" s="51"/>
      <c r="B326" s="51"/>
      <c r="C326" s="51"/>
      <c r="D326" s="210"/>
      <c r="E326" s="210"/>
      <c r="F326" s="51"/>
      <c r="G326" s="51"/>
      <c r="H326" s="51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</row>
    <row r="327" spans="1:30" x14ac:dyDescent="0.25">
      <c r="A327" s="51"/>
      <c r="B327" s="51"/>
      <c r="C327" s="51"/>
      <c r="D327" s="210"/>
      <c r="E327" s="210"/>
      <c r="F327" s="51"/>
      <c r="G327" s="51"/>
      <c r="H327" s="51"/>
      <c r="I327" s="51"/>
      <c r="J327" s="51"/>
      <c r="K327" s="51"/>
      <c r="L327" s="51"/>
      <c r="M327" s="51"/>
      <c r="N327" s="51"/>
      <c r="O327" s="51"/>
      <c r="P327" s="51"/>
      <c r="Q327" s="51"/>
      <c r="R327" s="51"/>
      <c r="S327" s="51"/>
      <c r="T327" s="51"/>
      <c r="U327" s="51"/>
      <c r="V327" s="51"/>
      <c r="W327" s="51"/>
      <c r="X327" s="51"/>
      <c r="Y327" s="51"/>
      <c r="Z327" s="51"/>
      <c r="AA327" s="51"/>
      <c r="AB327" s="51"/>
      <c r="AC327" s="51"/>
      <c r="AD327" s="51"/>
    </row>
    <row r="328" spans="1:30" x14ac:dyDescent="0.25">
      <c r="A328" s="51"/>
      <c r="B328" s="51"/>
      <c r="C328" s="51"/>
      <c r="D328" s="210"/>
      <c r="E328" s="210"/>
      <c r="F328" s="51"/>
      <c r="G328" s="51"/>
      <c r="H328" s="51"/>
      <c r="I328" s="51"/>
      <c r="J328" s="51"/>
      <c r="K328" s="51"/>
      <c r="L328" s="51"/>
      <c r="M328" s="51"/>
      <c r="N328" s="51"/>
      <c r="O328" s="51"/>
      <c r="P328" s="51"/>
      <c r="Q328" s="51"/>
      <c r="R328" s="51"/>
      <c r="S328" s="51"/>
      <c r="T328" s="51"/>
      <c r="U328" s="51"/>
      <c r="V328" s="51"/>
      <c r="W328" s="51"/>
      <c r="X328" s="51"/>
      <c r="Y328" s="51"/>
      <c r="Z328" s="51"/>
      <c r="AA328" s="51"/>
      <c r="AB328" s="51"/>
      <c r="AC328" s="51"/>
      <c r="AD328" s="51"/>
    </row>
    <row r="329" spans="1:30" x14ac:dyDescent="0.25">
      <c r="A329" s="51"/>
      <c r="B329" s="51"/>
      <c r="C329" s="51"/>
      <c r="D329" s="210"/>
      <c r="E329" s="210"/>
      <c r="F329" s="51"/>
      <c r="G329" s="51"/>
      <c r="H329" s="51"/>
      <c r="I329" s="51"/>
      <c r="J329" s="51"/>
      <c r="K329" s="51"/>
      <c r="L329" s="51"/>
      <c r="M329" s="51"/>
      <c r="N329" s="51"/>
      <c r="O329" s="51"/>
      <c r="P329" s="51"/>
      <c r="Q329" s="51"/>
      <c r="R329" s="51"/>
      <c r="S329" s="51"/>
      <c r="T329" s="51"/>
      <c r="U329" s="51"/>
      <c r="V329" s="51"/>
      <c r="W329" s="51"/>
      <c r="X329" s="51"/>
      <c r="Y329" s="51"/>
      <c r="Z329" s="51"/>
      <c r="AA329" s="51"/>
      <c r="AB329" s="51"/>
      <c r="AC329" s="51"/>
      <c r="AD329" s="51"/>
    </row>
    <row r="330" spans="1:30" x14ac:dyDescent="0.25">
      <c r="A330" s="51"/>
      <c r="B330" s="51"/>
      <c r="C330" s="51"/>
      <c r="D330" s="210"/>
      <c r="E330" s="210"/>
      <c r="F330" s="51"/>
      <c r="G330" s="51"/>
      <c r="H330" s="51"/>
      <c r="I330" s="51"/>
      <c r="J330" s="51"/>
      <c r="K330" s="51"/>
      <c r="L330" s="51"/>
      <c r="M330" s="51"/>
      <c r="N330" s="51"/>
      <c r="O330" s="51"/>
      <c r="P330" s="51"/>
      <c r="Q330" s="51"/>
      <c r="R330" s="51"/>
      <c r="S330" s="51"/>
      <c r="T330" s="51"/>
      <c r="U330" s="51"/>
      <c r="V330" s="51"/>
      <c r="W330" s="51"/>
      <c r="X330" s="51"/>
      <c r="Y330" s="51"/>
      <c r="Z330" s="51"/>
      <c r="AA330" s="51"/>
      <c r="AB330" s="51"/>
      <c r="AC330" s="51"/>
      <c r="AD330" s="51"/>
    </row>
    <row r="331" spans="1:30" x14ac:dyDescent="0.25">
      <c r="A331" s="51"/>
      <c r="B331" s="51"/>
      <c r="C331" s="51"/>
      <c r="D331" s="210"/>
      <c r="E331" s="210"/>
      <c r="F331" s="51"/>
      <c r="G331" s="51"/>
      <c r="H331" s="51"/>
      <c r="I331" s="51"/>
      <c r="J331" s="51"/>
      <c r="K331" s="51"/>
      <c r="L331" s="51"/>
      <c r="M331" s="51"/>
      <c r="N331" s="51"/>
      <c r="O331" s="51"/>
      <c r="P331" s="51"/>
      <c r="Q331" s="51"/>
      <c r="R331" s="51"/>
      <c r="S331" s="51"/>
      <c r="T331" s="51"/>
      <c r="U331" s="51"/>
      <c r="V331" s="51"/>
      <c r="W331" s="51"/>
      <c r="X331" s="51"/>
      <c r="Y331" s="51"/>
      <c r="Z331" s="51"/>
      <c r="AA331" s="51"/>
      <c r="AB331" s="51"/>
      <c r="AC331" s="51"/>
      <c r="AD331" s="51"/>
    </row>
    <row r="332" spans="1:30" x14ac:dyDescent="0.25">
      <c r="A332" s="51"/>
      <c r="B332" s="51"/>
      <c r="C332" s="51"/>
      <c r="D332" s="210"/>
      <c r="E332" s="210"/>
      <c r="F332" s="51"/>
      <c r="G332" s="51"/>
      <c r="H332" s="51"/>
      <c r="I332" s="51"/>
      <c r="J332" s="51"/>
      <c r="K332" s="51"/>
      <c r="L332" s="51"/>
      <c r="M332" s="51"/>
      <c r="N332" s="51"/>
      <c r="O332" s="51"/>
      <c r="P332" s="51"/>
      <c r="Q332" s="51"/>
      <c r="R332" s="51"/>
      <c r="S332" s="51"/>
      <c r="T332" s="51"/>
      <c r="U332" s="51"/>
      <c r="V332" s="51"/>
      <c r="W332" s="51"/>
      <c r="X332" s="51"/>
      <c r="Y332" s="51"/>
      <c r="Z332" s="51"/>
      <c r="AA332" s="51"/>
      <c r="AB332" s="51"/>
      <c r="AC332" s="51"/>
      <c r="AD332" s="51"/>
    </row>
    <row r="333" spans="1:30" x14ac:dyDescent="0.25">
      <c r="A333" s="51"/>
      <c r="B333" s="51"/>
      <c r="C333" s="51"/>
      <c r="D333" s="210"/>
      <c r="E333" s="210"/>
      <c r="F333" s="51"/>
      <c r="G333" s="51"/>
      <c r="H333" s="51"/>
      <c r="I333" s="51"/>
      <c r="J333" s="51"/>
      <c r="K333" s="51"/>
      <c r="L333" s="51"/>
      <c r="M333" s="51"/>
      <c r="N333" s="51"/>
      <c r="O333" s="51"/>
      <c r="P333" s="51"/>
      <c r="Q333" s="51"/>
      <c r="R333" s="51"/>
      <c r="S333" s="51"/>
      <c r="T333" s="51"/>
      <c r="U333" s="51"/>
      <c r="V333" s="51"/>
      <c r="W333" s="51"/>
      <c r="X333" s="51"/>
      <c r="Y333" s="51"/>
      <c r="Z333" s="51"/>
      <c r="AA333" s="51"/>
      <c r="AB333" s="51"/>
      <c r="AC333" s="51"/>
      <c r="AD333" s="51"/>
    </row>
    <row r="334" spans="1:30" x14ac:dyDescent="0.25">
      <c r="A334" s="51"/>
      <c r="B334" s="51"/>
      <c r="C334" s="51"/>
      <c r="D334" s="210"/>
      <c r="E334" s="210"/>
      <c r="F334" s="51"/>
      <c r="G334" s="51"/>
      <c r="H334" s="51"/>
      <c r="I334" s="51"/>
      <c r="J334" s="51"/>
      <c r="K334" s="51"/>
      <c r="L334" s="51"/>
      <c r="M334" s="51"/>
      <c r="N334" s="51"/>
      <c r="O334" s="51"/>
      <c r="P334" s="51"/>
      <c r="Q334" s="51"/>
      <c r="R334" s="51"/>
      <c r="S334" s="51"/>
      <c r="T334" s="51"/>
      <c r="U334" s="51"/>
      <c r="V334" s="51"/>
      <c r="W334" s="51"/>
      <c r="X334" s="51"/>
      <c r="Y334" s="51"/>
      <c r="Z334" s="51"/>
      <c r="AA334" s="51"/>
      <c r="AB334" s="51"/>
      <c r="AC334" s="51"/>
      <c r="AD334" s="51"/>
    </row>
    <row r="335" spans="1:30" x14ac:dyDescent="0.25">
      <c r="A335" s="51"/>
      <c r="B335" s="51"/>
      <c r="C335" s="51"/>
      <c r="D335" s="210"/>
      <c r="E335" s="210"/>
      <c r="F335" s="51"/>
      <c r="G335" s="51"/>
      <c r="H335" s="51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</row>
    <row r="336" spans="1:30" x14ac:dyDescent="0.25">
      <c r="A336" s="51"/>
      <c r="B336" s="51"/>
      <c r="C336" s="51"/>
      <c r="D336" s="210"/>
      <c r="E336" s="210"/>
      <c r="F336" s="51"/>
      <c r="G336" s="51"/>
      <c r="H336" s="51"/>
      <c r="I336" s="51"/>
      <c r="J336" s="51"/>
      <c r="K336" s="51"/>
      <c r="L336" s="51"/>
      <c r="M336" s="51"/>
      <c r="N336" s="51"/>
      <c r="O336" s="51"/>
      <c r="P336" s="51"/>
      <c r="Q336" s="51"/>
      <c r="R336" s="51"/>
      <c r="S336" s="51"/>
      <c r="T336" s="51"/>
      <c r="U336" s="51"/>
      <c r="V336" s="51"/>
      <c r="W336" s="51"/>
      <c r="X336" s="51"/>
      <c r="Y336" s="51"/>
      <c r="Z336" s="51"/>
      <c r="AA336" s="51"/>
      <c r="AB336" s="51"/>
      <c r="AC336" s="51"/>
      <c r="AD336" s="51"/>
    </row>
    <row r="337" spans="1:30" x14ac:dyDescent="0.25">
      <c r="A337" s="51"/>
      <c r="B337" s="51"/>
      <c r="C337" s="51"/>
      <c r="D337" s="210"/>
      <c r="E337" s="210"/>
      <c r="F337" s="51"/>
      <c r="G337" s="51"/>
      <c r="H337" s="51"/>
      <c r="I337" s="51"/>
      <c r="J337" s="51"/>
      <c r="K337" s="51"/>
      <c r="L337" s="51"/>
      <c r="M337" s="51"/>
      <c r="N337" s="51"/>
      <c r="O337" s="51"/>
      <c r="P337" s="51"/>
      <c r="Q337" s="51"/>
      <c r="R337" s="51"/>
      <c r="S337" s="51"/>
      <c r="T337" s="51"/>
      <c r="U337" s="51"/>
      <c r="V337" s="51"/>
      <c r="W337" s="51"/>
      <c r="X337" s="51"/>
      <c r="Y337" s="51"/>
      <c r="Z337" s="51"/>
      <c r="AA337" s="51"/>
      <c r="AB337" s="51"/>
      <c r="AC337" s="51"/>
      <c r="AD337" s="51"/>
    </row>
    <row r="338" spans="1:30" x14ac:dyDescent="0.25">
      <c r="A338" s="51"/>
      <c r="B338" s="51"/>
      <c r="C338" s="51"/>
      <c r="D338" s="210"/>
      <c r="E338" s="210"/>
      <c r="F338" s="51"/>
      <c r="G338" s="51"/>
      <c r="H338" s="51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</row>
    <row r="339" spans="1:30" x14ac:dyDescent="0.25">
      <c r="A339" s="51"/>
      <c r="B339" s="51"/>
      <c r="C339" s="51"/>
      <c r="D339" s="210"/>
      <c r="E339" s="210"/>
      <c r="F339" s="51"/>
      <c r="G339" s="51"/>
      <c r="H339" s="51"/>
      <c r="I339" s="51"/>
      <c r="J339" s="51"/>
      <c r="K339" s="51"/>
      <c r="L339" s="51"/>
      <c r="M339" s="51"/>
      <c r="N339" s="51"/>
      <c r="O339" s="51"/>
      <c r="P339" s="51"/>
      <c r="Q339" s="51"/>
      <c r="R339" s="51"/>
      <c r="S339" s="51"/>
      <c r="T339" s="51"/>
      <c r="U339" s="51"/>
      <c r="V339" s="51"/>
      <c r="W339" s="51"/>
      <c r="X339" s="51"/>
      <c r="Y339" s="51"/>
      <c r="Z339" s="51"/>
      <c r="AA339" s="51"/>
      <c r="AB339" s="51"/>
      <c r="AC339" s="51"/>
      <c r="AD339" s="51"/>
    </row>
    <row r="340" spans="1:30" x14ac:dyDescent="0.25">
      <c r="A340" s="51"/>
      <c r="B340" s="51"/>
      <c r="C340" s="51"/>
      <c r="D340" s="210"/>
      <c r="E340" s="210"/>
      <c r="F340" s="51"/>
      <c r="G340" s="51"/>
      <c r="H340" s="51"/>
      <c r="I340" s="51"/>
      <c r="J340" s="51"/>
      <c r="K340" s="51"/>
      <c r="L340" s="51"/>
      <c r="M340" s="51"/>
      <c r="N340" s="51"/>
      <c r="O340" s="51"/>
      <c r="P340" s="51"/>
      <c r="Q340" s="51"/>
      <c r="R340" s="51"/>
      <c r="S340" s="51"/>
      <c r="T340" s="51"/>
      <c r="U340" s="51"/>
      <c r="V340" s="51"/>
      <c r="W340" s="51"/>
      <c r="X340" s="51"/>
      <c r="Y340" s="51"/>
      <c r="Z340" s="51"/>
      <c r="AA340" s="51"/>
      <c r="AB340" s="51"/>
      <c r="AC340" s="51"/>
      <c r="AD340" s="51"/>
    </row>
    <row r="341" spans="1:30" x14ac:dyDescent="0.25">
      <c r="A341" s="51"/>
      <c r="B341" s="51"/>
      <c r="C341" s="51"/>
      <c r="D341" s="210"/>
      <c r="E341" s="210"/>
      <c r="F341" s="51"/>
      <c r="G341" s="51"/>
      <c r="H341" s="51"/>
      <c r="I341" s="51"/>
      <c r="J341" s="51"/>
      <c r="K341" s="51"/>
      <c r="L341" s="51"/>
      <c r="M341" s="51"/>
      <c r="N341" s="51"/>
      <c r="O341" s="51"/>
      <c r="P341" s="51"/>
      <c r="Q341" s="51"/>
      <c r="R341" s="51"/>
      <c r="S341" s="51"/>
      <c r="T341" s="51"/>
      <c r="U341" s="51"/>
      <c r="V341" s="51"/>
      <c r="W341" s="51"/>
      <c r="X341" s="51"/>
      <c r="Y341" s="51"/>
      <c r="Z341" s="51"/>
      <c r="AA341" s="51"/>
      <c r="AB341" s="51"/>
      <c r="AC341" s="51"/>
      <c r="AD341" s="51"/>
    </row>
    <row r="342" spans="1:30" x14ac:dyDescent="0.25">
      <c r="A342" s="51"/>
      <c r="B342" s="51"/>
      <c r="C342" s="51"/>
      <c r="D342" s="210"/>
      <c r="E342" s="210"/>
      <c r="F342" s="51"/>
      <c r="G342" s="51"/>
      <c r="H342" s="51"/>
      <c r="I342" s="51"/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</row>
    <row r="343" spans="1:30" x14ac:dyDescent="0.25">
      <c r="A343" s="51"/>
      <c r="B343" s="51"/>
      <c r="C343" s="51"/>
      <c r="D343" s="210"/>
      <c r="E343" s="210"/>
      <c r="F343" s="51"/>
      <c r="G343" s="51"/>
      <c r="H343" s="51"/>
      <c r="I343" s="51"/>
      <c r="J343" s="51"/>
      <c r="K343" s="51"/>
      <c r="L343" s="51"/>
      <c r="M343" s="51"/>
      <c r="N343" s="51"/>
      <c r="O343" s="51"/>
      <c r="P343" s="51"/>
      <c r="Q343" s="51"/>
      <c r="R343" s="51"/>
      <c r="S343" s="51"/>
      <c r="T343" s="51"/>
      <c r="U343" s="51"/>
      <c r="V343" s="51"/>
      <c r="W343" s="51"/>
      <c r="X343" s="51"/>
      <c r="Y343" s="51"/>
      <c r="Z343" s="51"/>
      <c r="AA343" s="51"/>
      <c r="AB343" s="51"/>
      <c r="AC343" s="51"/>
      <c r="AD343" s="51"/>
    </row>
    <row r="344" spans="1:30" x14ac:dyDescent="0.25">
      <c r="A344" s="51"/>
      <c r="B344" s="51"/>
      <c r="C344" s="51"/>
      <c r="D344" s="210"/>
      <c r="E344" s="210"/>
      <c r="F344" s="51"/>
      <c r="G344" s="51"/>
      <c r="H344" s="51"/>
      <c r="I344" s="51"/>
      <c r="J344" s="51"/>
      <c r="K344" s="51"/>
      <c r="L344" s="51"/>
      <c r="M344" s="51"/>
      <c r="N344" s="51"/>
      <c r="O344" s="51"/>
      <c r="P344" s="51"/>
      <c r="Q344" s="51"/>
      <c r="R344" s="51"/>
      <c r="S344" s="51"/>
      <c r="T344" s="51"/>
      <c r="U344" s="51"/>
      <c r="V344" s="51"/>
      <c r="W344" s="51"/>
      <c r="X344" s="51"/>
      <c r="Y344" s="51"/>
      <c r="Z344" s="51"/>
      <c r="AA344" s="51"/>
      <c r="AB344" s="51"/>
      <c r="AC344" s="51"/>
      <c r="AD344" s="51"/>
    </row>
    <row r="345" spans="1:30" x14ac:dyDescent="0.25">
      <c r="A345" s="51"/>
      <c r="B345" s="51"/>
      <c r="C345" s="51"/>
      <c r="D345" s="210"/>
      <c r="E345" s="210"/>
      <c r="F345" s="51"/>
      <c r="G345" s="51"/>
      <c r="H345" s="51"/>
      <c r="I345" s="51"/>
      <c r="J345" s="51"/>
      <c r="K345" s="51"/>
      <c r="L345" s="51"/>
      <c r="M345" s="51"/>
      <c r="N345" s="51"/>
      <c r="O345" s="51"/>
      <c r="P345" s="51"/>
      <c r="Q345" s="51"/>
      <c r="R345" s="51"/>
      <c r="S345" s="51"/>
      <c r="T345" s="51"/>
      <c r="U345" s="51"/>
      <c r="V345" s="51"/>
      <c r="W345" s="51"/>
      <c r="X345" s="51"/>
      <c r="Y345" s="51"/>
      <c r="Z345" s="51"/>
      <c r="AA345" s="51"/>
      <c r="AB345" s="51"/>
      <c r="AC345" s="51"/>
      <c r="AD345" s="51"/>
    </row>
    <row r="346" spans="1:30" x14ac:dyDescent="0.25">
      <c r="A346" s="51"/>
      <c r="B346" s="51"/>
      <c r="C346" s="51"/>
      <c r="D346" s="210"/>
      <c r="E346" s="210"/>
      <c r="F346" s="51"/>
      <c r="G346" s="51"/>
      <c r="H346" s="51"/>
      <c r="I346" s="51"/>
      <c r="J346" s="51"/>
      <c r="K346" s="51"/>
      <c r="L346" s="51"/>
      <c r="M346" s="51"/>
      <c r="N346" s="51"/>
      <c r="O346" s="51"/>
      <c r="P346" s="51"/>
      <c r="Q346" s="51"/>
      <c r="R346" s="51"/>
      <c r="S346" s="51"/>
      <c r="T346" s="51"/>
      <c r="U346" s="51"/>
      <c r="V346" s="51"/>
      <c r="W346" s="51"/>
      <c r="X346" s="51"/>
      <c r="Y346" s="51"/>
      <c r="Z346" s="51"/>
      <c r="AA346" s="51"/>
      <c r="AB346" s="51"/>
      <c r="AC346" s="51"/>
      <c r="AD346" s="51"/>
    </row>
    <row r="347" spans="1:30" x14ac:dyDescent="0.25">
      <c r="A347" s="51"/>
      <c r="B347" s="51"/>
      <c r="C347" s="51"/>
      <c r="D347" s="210"/>
      <c r="E347" s="210"/>
      <c r="F347" s="51"/>
      <c r="G347" s="51"/>
      <c r="H347" s="51"/>
      <c r="I347" s="51"/>
      <c r="J347" s="51"/>
      <c r="K347" s="51"/>
      <c r="L347" s="51"/>
      <c r="M347" s="51"/>
      <c r="N347" s="51"/>
      <c r="O347" s="51"/>
      <c r="P347" s="51"/>
      <c r="Q347" s="51"/>
      <c r="R347" s="51"/>
      <c r="S347" s="51"/>
      <c r="T347" s="51"/>
      <c r="U347" s="51"/>
      <c r="V347" s="51"/>
      <c r="W347" s="51"/>
      <c r="X347" s="51"/>
      <c r="Y347" s="51"/>
      <c r="Z347" s="51"/>
      <c r="AA347" s="51"/>
      <c r="AB347" s="51"/>
      <c r="AC347" s="51"/>
      <c r="AD347" s="51"/>
    </row>
    <row r="348" spans="1:30" x14ac:dyDescent="0.25">
      <c r="A348" s="51"/>
      <c r="B348" s="51"/>
      <c r="C348" s="51"/>
      <c r="D348" s="210"/>
      <c r="E348" s="210"/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  <c r="S348" s="51"/>
      <c r="T348" s="51"/>
      <c r="U348" s="51"/>
      <c r="V348" s="51"/>
      <c r="W348" s="51"/>
      <c r="X348" s="51"/>
      <c r="Y348" s="51"/>
      <c r="Z348" s="51"/>
      <c r="AA348" s="51"/>
      <c r="AB348" s="51"/>
      <c r="AC348" s="51"/>
      <c r="AD348" s="51"/>
    </row>
    <row r="349" spans="1:30" x14ac:dyDescent="0.25">
      <c r="A349" s="51"/>
      <c r="B349" s="51"/>
      <c r="C349" s="51"/>
      <c r="D349" s="210"/>
      <c r="E349" s="210"/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  <c r="S349" s="51"/>
      <c r="T349" s="51"/>
      <c r="U349" s="51"/>
      <c r="V349" s="51"/>
      <c r="W349" s="51"/>
      <c r="X349" s="51"/>
      <c r="Y349" s="51"/>
      <c r="Z349" s="51"/>
      <c r="AA349" s="51"/>
      <c r="AB349" s="51"/>
      <c r="AC349" s="51"/>
      <c r="AD349" s="51"/>
    </row>
    <row r="350" spans="1:30" x14ac:dyDescent="0.25">
      <c r="A350" s="51"/>
      <c r="B350" s="51"/>
      <c r="C350" s="51"/>
      <c r="D350" s="210"/>
      <c r="E350" s="210"/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  <c r="S350" s="51"/>
      <c r="T350" s="51"/>
      <c r="U350" s="51"/>
      <c r="V350" s="51"/>
      <c r="W350" s="51"/>
      <c r="X350" s="51"/>
      <c r="Y350" s="51"/>
      <c r="Z350" s="51"/>
      <c r="AA350" s="51"/>
      <c r="AB350" s="51"/>
      <c r="AC350" s="51"/>
      <c r="AD350" s="51"/>
    </row>
    <row r="351" spans="1:30" x14ac:dyDescent="0.25">
      <c r="A351" s="51"/>
      <c r="B351" s="51"/>
      <c r="C351" s="51"/>
      <c r="D351" s="210"/>
      <c r="E351" s="210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</row>
    <row r="352" spans="1:30" x14ac:dyDescent="0.25">
      <c r="A352" s="51"/>
      <c r="B352" s="51"/>
      <c r="C352" s="51"/>
      <c r="D352" s="210"/>
      <c r="E352" s="210"/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  <c r="S352" s="51"/>
      <c r="T352" s="51"/>
      <c r="U352" s="51"/>
      <c r="V352" s="51"/>
      <c r="W352" s="51"/>
      <c r="X352" s="51"/>
      <c r="Y352" s="51"/>
      <c r="Z352" s="51"/>
      <c r="AA352" s="51"/>
      <c r="AB352" s="51"/>
      <c r="AC352" s="51"/>
      <c r="AD352" s="51"/>
    </row>
    <row r="353" spans="1:30" x14ac:dyDescent="0.25">
      <c r="A353" s="51"/>
      <c r="B353" s="51"/>
      <c r="C353" s="51"/>
      <c r="D353" s="210"/>
      <c r="E353" s="210"/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  <c r="S353" s="51"/>
      <c r="T353" s="51"/>
      <c r="U353" s="51"/>
      <c r="V353" s="51"/>
      <c r="W353" s="51"/>
      <c r="X353" s="51"/>
      <c r="Y353" s="51"/>
      <c r="Z353" s="51"/>
      <c r="AA353" s="51"/>
      <c r="AB353" s="51"/>
      <c r="AC353" s="51"/>
      <c r="AD353" s="51"/>
    </row>
    <row r="354" spans="1:30" x14ac:dyDescent="0.25">
      <c r="A354" s="51"/>
      <c r="B354" s="51"/>
      <c r="C354" s="51"/>
      <c r="D354" s="210"/>
      <c r="E354" s="210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  <c r="S354" s="51"/>
      <c r="T354" s="51"/>
      <c r="U354" s="51"/>
      <c r="V354" s="51"/>
      <c r="W354" s="51"/>
      <c r="X354" s="51"/>
      <c r="Y354" s="51"/>
      <c r="Z354" s="51"/>
      <c r="AA354" s="51"/>
      <c r="AB354" s="51"/>
      <c r="AC354" s="51"/>
      <c r="AD354" s="51"/>
    </row>
    <row r="355" spans="1:30" x14ac:dyDescent="0.25">
      <c r="A355" s="51"/>
      <c r="B355" s="51"/>
      <c r="C355" s="51"/>
      <c r="D355" s="210"/>
      <c r="E355" s="210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  <c r="S355" s="51"/>
      <c r="T355" s="51"/>
      <c r="U355" s="51"/>
      <c r="V355" s="51"/>
      <c r="W355" s="51"/>
      <c r="X355" s="51"/>
      <c r="Y355" s="51"/>
      <c r="Z355" s="51"/>
      <c r="AA355" s="51"/>
      <c r="AB355" s="51"/>
      <c r="AC355" s="51"/>
      <c r="AD355" s="51"/>
    </row>
    <row r="356" spans="1:30" x14ac:dyDescent="0.25">
      <c r="A356" s="51"/>
      <c r="B356" s="51"/>
      <c r="C356" s="51"/>
      <c r="D356" s="210"/>
      <c r="E356" s="210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  <c r="S356" s="51"/>
      <c r="T356" s="51"/>
      <c r="U356" s="51"/>
      <c r="V356" s="51"/>
      <c r="W356" s="51"/>
      <c r="X356" s="51"/>
      <c r="Y356" s="51"/>
      <c r="Z356" s="51"/>
      <c r="AA356" s="51"/>
      <c r="AB356" s="51"/>
      <c r="AC356" s="51"/>
      <c r="AD356" s="51"/>
    </row>
    <row r="357" spans="1:30" x14ac:dyDescent="0.25">
      <c r="A357" s="51"/>
      <c r="B357" s="51"/>
      <c r="C357" s="51"/>
      <c r="D357" s="210"/>
      <c r="E357" s="210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</row>
    <row r="358" spans="1:30" x14ac:dyDescent="0.25">
      <c r="A358" s="51"/>
      <c r="B358" s="51"/>
      <c r="C358" s="51"/>
      <c r="D358" s="210"/>
      <c r="E358" s="210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  <c r="S358" s="51"/>
      <c r="T358" s="51"/>
      <c r="U358" s="51"/>
      <c r="V358" s="51"/>
      <c r="W358" s="51"/>
      <c r="X358" s="51"/>
      <c r="Y358" s="51"/>
      <c r="Z358" s="51"/>
      <c r="AA358" s="51"/>
      <c r="AB358" s="51"/>
      <c r="AC358" s="51"/>
      <c r="AD358" s="51"/>
    </row>
    <row r="359" spans="1:30" x14ac:dyDescent="0.25">
      <c r="A359" s="51"/>
      <c r="B359" s="51"/>
      <c r="C359" s="51"/>
      <c r="D359" s="210"/>
      <c r="E359" s="210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  <c r="S359" s="51"/>
      <c r="T359" s="51"/>
      <c r="U359" s="51"/>
      <c r="V359" s="51"/>
      <c r="W359" s="51"/>
      <c r="X359" s="51"/>
      <c r="Y359" s="51"/>
      <c r="Z359" s="51"/>
      <c r="AA359" s="51"/>
      <c r="AB359" s="51"/>
      <c r="AC359" s="51"/>
      <c r="AD359" s="51"/>
    </row>
    <row r="360" spans="1:30" x14ac:dyDescent="0.25">
      <c r="A360" s="51"/>
      <c r="B360" s="51"/>
      <c r="C360" s="51"/>
      <c r="D360" s="210"/>
      <c r="E360" s="210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</row>
    <row r="361" spans="1:30" x14ac:dyDescent="0.25">
      <c r="A361" s="51"/>
      <c r="B361" s="51"/>
      <c r="C361" s="51"/>
      <c r="D361" s="210"/>
      <c r="E361" s="210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  <c r="S361" s="51"/>
      <c r="T361" s="51"/>
      <c r="U361" s="51"/>
      <c r="V361" s="51"/>
      <c r="W361" s="51"/>
      <c r="X361" s="51"/>
      <c r="Y361" s="51"/>
      <c r="Z361" s="51"/>
      <c r="AA361" s="51"/>
      <c r="AB361" s="51"/>
      <c r="AC361" s="51"/>
      <c r="AD361" s="51"/>
    </row>
    <row r="362" spans="1:30" x14ac:dyDescent="0.25">
      <c r="A362" s="51"/>
      <c r="B362" s="51"/>
      <c r="C362" s="51"/>
      <c r="D362" s="210"/>
      <c r="E362" s="210"/>
      <c r="F362" s="51"/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  <c r="S362" s="51"/>
      <c r="T362" s="51"/>
      <c r="U362" s="51"/>
      <c r="V362" s="51"/>
      <c r="W362" s="51"/>
      <c r="X362" s="51"/>
      <c r="Y362" s="51"/>
      <c r="Z362" s="51"/>
      <c r="AA362" s="51"/>
      <c r="AB362" s="51"/>
      <c r="AC362" s="51"/>
      <c r="AD362" s="51"/>
    </row>
    <row r="363" spans="1:30" x14ac:dyDescent="0.25">
      <c r="A363" s="51"/>
      <c r="B363" s="51"/>
      <c r="C363" s="51"/>
      <c r="D363" s="210"/>
      <c r="E363" s="210"/>
      <c r="F363" s="51"/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</row>
    <row r="364" spans="1:30" x14ac:dyDescent="0.25">
      <c r="A364" s="51"/>
      <c r="B364" s="51"/>
      <c r="C364" s="51"/>
      <c r="D364" s="210"/>
      <c r="E364" s="210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  <c r="S364" s="51"/>
      <c r="T364" s="51"/>
      <c r="U364" s="51"/>
      <c r="V364" s="51"/>
      <c r="W364" s="51"/>
      <c r="X364" s="51"/>
      <c r="Y364" s="51"/>
      <c r="Z364" s="51"/>
      <c r="AA364" s="51"/>
      <c r="AB364" s="51"/>
      <c r="AC364" s="51"/>
      <c r="AD364" s="51"/>
    </row>
    <row r="365" spans="1:30" x14ac:dyDescent="0.25">
      <c r="A365" s="51"/>
      <c r="B365" s="51"/>
      <c r="C365" s="51"/>
      <c r="D365" s="210"/>
      <c r="E365" s="210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  <c r="S365" s="51"/>
      <c r="T365" s="51"/>
      <c r="U365" s="51"/>
      <c r="V365" s="51"/>
      <c r="W365" s="51"/>
      <c r="X365" s="51"/>
      <c r="Y365" s="51"/>
      <c r="Z365" s="51"/>
      <c r="AA365" s="51"/>
      <c r="AB365" s="51"/>
      <c r="AC365" s="51"/>
      <c r="AD365" s="51"/>
    </row>
    <row r="366" spans="1:30" x14ac:dyDescent="0.25">
      <c r="A366" s="51"/>
      <c r="B366" s="51"/>
      <c r="C366" s="51"/>
      <c r="D366" s="210"/>
      <c r="E366" s="210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</row>
    <row r="367" spans="1:30" x14ac:dyDescent="0.25">
      <c r="A367" s="51"/>
      <c r="B367" s="51"/>
      <c r="C367" s="51"/>
      <c r="D367" s="210"/>
      <c r="E367" s="210"/>
      <c r="F367" s="51"/>
      <c r="G367" s="51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  <c r="S367" s="51"/>
      <c r="T367" s="51"/>
      <c r="U367" s="51"/>
      <c r="V367" s="51"/>
      <c r="W367" s="51"/>
      <c r="X367" s="51"/>
      <c r="Y367" s="51"/>
      <c r="Z367" s="51"/>
      <c r="AA367" s="51"/>
      <c r="AB367" s="51"/>
      <c r="AC367" s="51"/>
      <c r="AD367" s="51"/>
    </row>
    <row r="368" spans="1:30" x14ac:dyDescent="0.25">
      <c r="A368" s="51"/>
      <c r="B368" s="51"/>
      <c r="C368" s="51"/>
      <c r="D368" s="210"/>
      <c r="E368" s="210"/>
      <c r="F368" s="51"/>
      <c r="G368" s="51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  <c r="S368" s="51"/>
      <c r="T368" s="51"/>
      <c r="U368" s="51"/>
      <c r="V368" s="51"/>
      <c r="W368" s="51"/>
      <c r="X368" s="51"/>
      <c r="Y368" s="51"/>
      <c r="Z368" s="51"/>
      <c r="AA368" s="51"/>
      <c r="AB368" s="51"/>
      <c r="AC368" s="51"/>
      <c r="AD368" s="51"/>
    </row>
    <row r="369" spans="1:30" x14ac:dyDescent="0.25">
      <c r="A369" s="51"/>
      <c r="B369" s="51"/>
      <c r="C369" s="51"/>
      <c r="D369" s="210"/>
      <c r="E369" s="210"/>
      <c r="F369" s="51"/>
      <c r="G369" s="51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</row>
    <row r="370" spans="1:30" x14ac:dyDescent="0.25">
      <c r="A370" s="51"/>
      <c r="B370" s="51"/>
      <c r="C370" s="51"/>
      <c r="D370" s="210"/>
      <c r="E370" s="210"/>
      <c r="F370" s="51"/>
      <c r="G370" s="51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  <c r="S370" s="51"/>
      <c r="T370" s="51"/>
      <c r="U370" s="51"/>
      <c r="V370" s="51"/>
      <c r="W370" s="51"/>
      <c r="X370" s="51"/>
      <c r="Y370" s="51"/>
      <c r="Z370" s="51"/>
      <c r="AA370" s="51"/>
      <c r="AB370" s="51"/>
      <c r="AC370" s="51"/>
      <c r="AD370" s="51"/>
    </row>
    <row r="371" spans="1:30" x14ac:dyDescent="0.25">
      <c r="A371" s="51"/>
      <c r="B371" s="51"/>
      <c r="C371" s="51"/>
      <c r="D371" s="210"/>
      <c r="E371" s="210"/>
      <c r="F371" s="51"/>
      <c r="G371" s="51"/>
      <c r="H371" s="51"/>
      <c r="I371" s="51"/>
      <c r="J371" s="51"/>
      <c r="K371" s="51"/>
      <c r="L371" s="51"/>
      <c r="M371" s="51"/>
      <c r="N371" s="51"/>
      <c r="O371" s="51"/>
      <c r="P371" s="51"/>
      <c r="Q371" s="51"/>
      <c r="R371" s="51"/>
      <c r="S371" s="51"/>
      <c r="T371" s="51"/>
      <c r="U371" s="51"/>
      <c r="V371" s="51"/>
      <c r="W371" s="51"/>
      <c r="X371" s="51"/>
      <c r="Y371" s="51"/>
      <c r="Z371" s="51"/>
      <c r="AA371" s="51"/>
      <c r="AB371" s="51"/>
      <c r="AC371" s="51"/>
      <c r="AD371" s="51"/>
    </row>
    <row r="372" spans="1:30" x14ac:dyDescent="0.25">
      <c r="A372" s="51"/>
      <c r="B372" s="51"/>
      <c r="C372" s="51"/>
      <c r="D372" s="210"/>
      <c r="E372" s="210"/>
      <c r="F372" s="51"/>
      <c r="G372" s="51"/>
      <c r="H372" s="51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</row>
    <row r="373" spans="1:30" x14ac:dyDescent="0.25">
      <c r="A373" s="51"/>
      <c r="B373" s="51"/>
      <c r="C373" s="51"/>
      <c r="D373" s="210"/>
      <c r="E373" s="210"/>
      <c r="F373" s="51"/>
      <c r="G373" s="51"/>
      <c r="H373" s="51"/>
      <c r="I373" s="51"/>
      <c r="J373" s="51"/>
      <c r="K373" s="51"/>
      <c r="L373" s="51"/>
      <c r="M373" s="51"/>
      <c r="N373" s="51"/>
      <c r="O373" s="51"/>
      <c r="P373" s="51"/>
      <c r="Q373" s="51"/>
      <c r="R373" s="51"/>
      <c r="S373" s="51"/>
      <c r="T373" s="51"/>
      <c r="U373" s="51"/>
      <c r="V373" s="51"/>
      <c r="W373" s="51"/>
      <c r="X373" s="51"/>
      <c r="Y373" s="51"/>
      <c r="Z373" s="51"/>
      <c r="AA373" s="51"/>
      <c r="AB373" s="51"/>
      <c r="AC373" s="51"/>
      <c r="AD373" s="51"/>
    </row>
    <row r="374" spans="1:30" x14ac:dyDescent="0.25">
      <c r="A374" s="51"/>
      <c r="B374" s="51"/>
      <c r="C374" s="51"/>
      <c r="D374" s="210"/>
      <c r="E374" s="210"/>
      <c r="F374" s="51"/>
      <c r="G374" s="51"/>
      <c r="H374" s="51"/>
      <c r="I374" s="51"/>
      <c r="J374" s="51"/>
      <c r="K374" s="51"/>
      <c r="L374" s="51"/>
      <c r="M374" s="51"/>
      <c r="N374" s="51"/>
      <c r="O374" s="51"/>
      <c r="P374" s="51"/>
      <c r="Q374" s="51"/>
      <c r="R374" s="51"/>
      <c r="S374" s="51"/>
      <c r="T374" s="51"/>
      <c r="U374" s="51"/>
      <c r="V374" s="51"/>
      <c r="W374" s="51"/>
      <c r="X374" s="51"/>
      <c r="Y374" s="51"/>
      <c r="Z374" s="51"/>
      <c r="AA374" s="51"/>
      <c r="AB374" s="51"/>
      <c r="AC374" s="51"/>
      <c r="AD374" s="51"/>
    </row>
    <row r="375" spans="1:30" x14ac:dyDescent="0.25">
      <c r="A375" s="51"/>
      <c r="B375" s="51"/>
      <c r="C375" s="51"/>
      <c r="D375" s="210"/>
      <c r="E375" s="210"/>
      <c r="F375" s="51"/>
      <c r="G375" s="51"/>
      <c r="H375" s="51"/>
      <c r="I375" s="51"/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</row>
    <row r="376" spans="1:30" x14ac:dyDescent="0.25">
      <c r="A376" s="51"/>
      <c r="B376" s="51"/>
      <c r="C376" s="51"/>
      <c r="D376" s="210"/>
      <c r="E376" s="210"/>
      <c r="F376" s="51"/>
      <c r="G376" s="51"/>
      <c r="H376" s="51"/>
      <c r="I376" s="51"/>
      <c r="J376" s="51"/>
      <c r="K376" s="51"/>
      <c r="L376" s="51"/>
      <c r="M376" s="51"/>
      <c r="N376" s="51"/>
      <c r="O376" s="51"/>
      <c r="P376" s="51"/>
      <c r="Q376" s="51"/>
      <c r="R376" s="51"/>
      <c r="S376" s="51"/>
      <c r="T376" s="51"/>
      <c r="U376" s="51"/>
      <c r="V376" s="51"/>
      <c r="W376" s="51"/>
      <c r="X376" s="51"/>
      <c r="Y376" s="51"/>
      <c r="Z376" s="51"/>
      <c r="AA376" s="51"/>
      <c r="AB376" s="51"/>
      <c r="AC376" s="51"/>
      <c r="AD376" s="51"/>
    </row>
    <row r="377" spans="1:30" x14ac:dyDescent="0.25">
      <c r="A377" s="51"/>
      <c r="B377" s="51"/>
      <c r="C377" s="51"/>
      <c r="D377" s="210"/>
      <c r="E377" s="210"/>
      <c r="F377" s="51"/>
      <c r="G377" s="51"/>
      <c r="H377" s="51"/>
      <c r="I377" s="51"/>
      <c r="J377" s="51"/>
      <c r="K377" s="51"/>
      <c r="L377" s="51"/>
      <c r="M377" s="51"/>
      <c r="N377" s="51"/>
      <c r="O377" s="51"/>
      <c r="P377" s="51"/>
      <c r="Q377" s="51"/>
      <c r="R377" s="51"/>
      <c r="S377" s="51"/>
      <c r="T377" s="51"/>
      <c r="U377" s="51"/>
      <c r="V377" s="51"/>
      <c r="W377" s="51"/>
      <c r="X377" s="51"/>
      <c r="Y377" s="51"/>
      <c r="Z377" s="51"/>
      <c r="AA377" s="51"/>
      <c r="AB377" s="51"/>
      <c r="AC377" s="51"/>
      <c r="AD377" s="51"/>
    </row>
    <row r="378" spans="1:30" x14ac:dyDescent="0.25">
      <c r="A378" s="51"/>
      <c r="B378" s="51"/>
      <c r="C378" s="51"/>
      <c r="D378" s="210"/>
      <c r="E378" s="210"/>
      <c r="F378" s="51"/>
      <c r="G378" s="51"/>
      <c r="H378" s="51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</row>
    <row r="379" spans="1:30" x14ac:dyDescent="0.25">
      <c r="A379" s="51"/>
      <c r="B379" s="51"/>
      <c r="C379" s="51"/>
      <c r="D379" s="210"/>
      <c r="E379" s="210"/>
      <c r="F379" s="51"/>
      <c r="G379" s="51"/>
      <c r="H379" s="51"/>
      <c r="I379" s="51"/>
      <c r="J379" s="51"/>
      <c r="K379" s="51"/>
      <c r="L379" s="51"/>
      <c r="M379" s="51"/>
      <c r="N379" s="51"/>
      <c r="O379" s="51"/>
      <c r="P379" s="51"/>
      <c r="Q379" s="51"/>
      <c r="R379" s="51"/>
      <c r="S379" s="51"/>
      <c r="T379" s="51"/>
      <c r="U379" s="51"/>
      <c r="V379" s="51"/>
      <c r="W379" s="51"/>
      <c r="X379" s="51"/>
      <c r="Y379" s="51"/>
      <c r="Z379" s="51"/>
      <c r="AA379" s="51"/>
      <c r="AB379" s="51"/>
      <c r="AC379" s="51"/>
      <c r="AD379" s="51"/>
    </row>
    <row r="380" spans="1:30" x14ac:dyDescent="0.25">
      <c r="A380" s="51"/>
      <c r="B380" s="51"/>
      <c r="C380" s="51"/>
      <c r="D380" s="210"/>
      <c r="E380" s="210"/>
      <c r="F380" s="51"/>
      <c r="G380" s="51"/>
      <c r="H380" s="51"/>
      <c r="I380" s="51"/>
      <c r="J380" s="51"/>
      <c r="K380" s="51"/>
      <c r="L380" s="51"/>
      <c r="M380" s="51"/>
      <c r="N380" s="51"/>
      <c r="O380" s="51"/>
      <c r="P380" s="51"/>
      <c r="Q380" s="51"/>
      <c r="R380" s="51"/>
      <c r="S380" s="51"/>
      <c r="T380" s="51"/>
      <c r="U380" s="51"/>
      <c r="V380" s="51"/>
      <c r="W380" s="51"/>
      <c r="X380" s="51"/>
      <c r="Y380" s="51"/>
      <c r="Z380" s="51"/>
      <c r="AA380" s="51"/>
      <c r="AB380" s="51"/>
      <c r="AC380" s="51"/>
      <c r="AD380" s="51"/>
    </row>
    <row r="381" spans="1:30" x14ac:dyDescent="0.25">
      <c r="A381" s="51"/>
      <c r="B381" s="51"/>
      <c r="C381" s="51"/>
      <c r="D381" s="210"/>
      <c r="E381" s="210"/>
      <c r="F381" s="51"/>
      <c r="G381" s="51"/>
      <c r="H381" s="51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</row>
    <row r="382" spans="1:30" x14ac:dyDescent="0.25">
      <c r="A382" s="51"/>
      <c r="B382" s="51"/>
      <c r="C382" s="51"/>
      <c r="D382" s="210"/>
      <c r="E382" s="210"/>
      <c r="F382" s="51"/>
      <c r="G382" s="51"/>
      <c r="H382" s="51"/>
      <c r="I382" s="51"/>
      <c r="J382" s="51"/>
      <c r="K382" s="51"/>
      <c r="L382" s="51"/>
      <c r="M382" s="51"/>
      <c r="N382" s="51"/>
      <c r="O382" s="51"/>
      <c r="P382" s="51"/>
      <c r="Q382" s="51"/>
      <c r="R382" s="51"/>
      <c r="S382" s="51"/>
      <c r="T382" s="51"/>
      <c r="U382" s="51"/>
      <c r="V382" s="51"/>
      <c r="W382" s="51"/>
      <c r="X382" s="51"/>
      <c r="Y382" s="51"/>
      <c r="Z382" s="51"/>
      <c r="AA382" s="51"/>
      <c r="AB382" s="51"/>
      <c r="AC382" s="51"/>
      <c r="AD382" s="51"/>
    </row>
    <row r="383" spans="1:30" x14ac:dyDescent="0.25">
      <c r="A383" s="51"/>
      <c r="B383" s="51"/>
      <c r="C383" s="51"/>
      <c r="D383" s="210"/>
      <c r="E383" s="210"/>
      <c r="F383" s="51"/>
      <c r="G383" s="51"/>
      <c r="H383" s="51"/>
      <c r="I383" s="51"/>
      <c r="J383" s="51"/>
      <c r="K383" s="51"/>
      <c r="L383" s="51"/>
      <c r="M383" s="51"/>
      <c r="N383" s="51"/>
      <c r="O383" s="51"/>
      <c r="P383" s="51"/>
      <c r="Q383" s="51"/>
      <c r="R383" s="51"/>
      <c r="S383" s="51"/>
      <c r="T383" s="51"/>
      <c r="U383" s="51"/>
      <c r="V383" s="51"/>
      <c r="W383" s="51"/>
      <c r="X383" s="51"/>
      <c r="Y383" s="51"/>
      <c r="Z383" s="51"/>
      <c r="AA383" s="51"/>
      <c r="AB383" s="51"/>
      <c r="AC383" s="51"/>
      <c r="AD383" s="51"/>
    </row>
    <row r="384" spans="1:30" x14ac:dyDescent="0.25">
      <c r="A384" s="51"/>
      <c r="B384" s="51"/>
      <c r="C384" s="51"/>
      <c r="D384" s="210"/>
      <c r="E384" s="210"/>
      <c r="F384" s="51"/>
      <c r="G384" s="51"/>
      <c r="H384" s="51"/>
      <c r="I384" s="51"/>
      <c r="J384" s="51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</row>
    <row r="385" spans="1:30" x14ac:dyDescent="0.25">
      <c r="A385" s="51"/>
      <c r="B385" s="51"/>
      <c r="C385" s="51"/>
      <c r="D385" s="210"/>
      <c r="E385" s="210"/>
      <c r="F385" s="51"/>
      <c r="G385" s="51"/>
      <c r="H385" s="51"/>
      <c r="I385" s="51"/>
      <c r="J385" s="51"/>
      <c r="K385" s="51"/>
      <c r="L385" s="51"/>
      <c r="M385" s="51"/>
      <c r="N385" s="51"/>
      <c r="O385" s="51"/>
      <c r="P385" s="51"/>
      <c r="Q385" s="51"/>
      <c r="R385" s="51"/>
      <c r="S385" s="51"/>
      <c r="T385" s="51"/>
      <c r="U385" s="51"/>
      <c r="V385" s="51"/>
      <c r="W385" s="51"/>
      <c r="X385" s="51"/>
      <c r="Y385" s="51"/>
      <c r="Z385" s="51"/>
      <c r="AA385" s="51"/>
      <c r="AB385" s="51"/>
      <c r="AC385" s="51"/>
      <c r="AD385" s="51"/>
    </row>
    <row r="386" spans="1:30" x14ac:dyDescent="0.25">
      <c r="A386" s="51"/>
      <c r="B386" s="51"/>
      <c r="C386" s="51"/>
      <c r="D386" s="210"/>
      <c r="E386" s="210"/>
      <c r="F386" s="51"/>
      <c r="G386" s="51"/>
      <c r="H386" s="51"/>
      <c r="I386" s="51"/>
      <c r="J386" s="51"/>
      <c r="K386" s="51"/>
      <c r="L386" s="51"/>
      <c r="M386" s="51"/>
      <c r="N386" s="51"/>
      <c r="O386" s="51"/>
      <c r="P386" s="51"/>
      <c r="Q386" s="51"/>
      <c r="R386" s="51"/>
      <c r="S386" s="51"/>
      <c r="T386" s="51"/>
      <c r="U386" s="51"/>
      <c r="V386" s="51"/>
      <c r="W386" s="51"/>
      <c r="X386" s="51"/>
      <c r="Y386" s="51"/>
      <c r="Z386" s="51"/>
      <c r="AA386" s="51"/>
      <c r="AB386" s="51"/>
      <c r="AC386" s="51"/>
      <c r="AD386" s="51"/>
    </row>
    <row r="387" spans="1:30" x14ac:dyDescent="0.25">
      <c r="A387" s="51"/>
      <c r="B387" s="51"/>
      <c r="C387" s="51"/>
      <c r="D387" s="210"/>
      <c r="E387" s="210"/>
      <c r="F387" s="51"/>
      <c r="G387" s="51"/>
      <c r="H387" s="51"/>
      <c r="I387" s="51"/>
      <c r="J387" s="51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</row>
    <row r="388" spans="1:30" x14ac:dyDescent="0.25">
      <c r="A388" s="51"/>
      <c r="B388" s="51"/>
      <c r="C388" s="51"/>
      <c r="D388" s="210"/>
      <c r="E388" s="210"/>
      <c r="F388" s="51"/>
      <c r="G388" s="51"/>
      <c r="H388" s="51"/>
      <c r="I388" s="51"/>
      <c r="J388" s="51"/>
      <c r="K388" s="51"/>
      <c r="L388" s="51"/>
      <c r="M388" s="51"/>
      <c r="N388" s="51"/>
      <c r="O388" s="51"/>
      <c r="P388" s="51"/>
      <c r="Q388" s="51"/>
      <c r="R388" s="51"/>
      <c r="S388" s="51"/>
      <c r="T388" s="51"/>
      <c r="U388" s="51"/>
      <c r="V388" s="51"/>
      <c r="W388" s="51"/>
      <c r="X388" s="51"/>
      <c r="Y388" s="51"/>
      <c r="Z388" s="51"/>
      <c r="AA388" s="51"/>
      <c r="AB388" s="51"/>
      <c r="AC388" s="51"/>
      <c r="AD388" s="51"/>
    </row>
    <row r="389" spans="1:30" x14ac:dyDescent="0.25">
      <c r="A389" s="51"/>
      <c r="B389" s="51"/>
      <c r="C389" s="51"/>
      <c r="D389" s="210"/>
      <c r="E389" s="210"/>
      <c r="F389" s="51"/>
      <c r="G389" s="51"/>
      <c r="H389" s="51"/>
      <c r="I389" s="51"/>
      <c r="J389" s="51"/>
      <c r="K389" s="51"/>
      <c r="L389" s="51"/>
      <c r="M389" s="51"/>
      <c r="N389" s="51"/>
      <c r="O389" s="51"/>
      <c r="P389" s="51"/>
      <c r="Q389" s="51"/>
      <c r="R389" s="51"/>
      <c r="S389" s="51"/>
      <c r="T389" s="51"/>
      <c r="U389" s="51"/>
      <c r="V389" s="51"/>
      <c r="W389" s="51"/>
      <c r="X389" s="51"/>
      <c r="Y389" s="51"/>
      <c r="Z389" s="51"/>
      <c r="AA389" s="51"/>
      <c r="AB389" s="51"/>
      <c r="AC389" s="51"/>
      <c r="AD389" s="51"/>
    </row>
    <row r="390" spans="1:30" x14ac:dyDescent="0.25">
      <c r="A390" s="51"/>
      <c r="B390" s="51"/>
      <c r="C390" s="51"/>
      <c r="D390" s="210"/>
      <c r="E390" s="210"/>
      <c r="F390" s="51"/>
      <c r="G390" s="51"/>
      <c r="H390" s="51"/>
      <c r="I390" s="51"/>
      <c r="J390" s="51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</row>
    <row r="391" spans="1:30" x14ac:dyDescent="0.25">
      <c r="A391" s="51"/>
      <c r="B391" s="51"/>
      <c r="C391" s="51"/>
      <c r="D391" s="210"/>
      <c r="E391" s="210"/>
      <c r="F391" s="51"/>
      <c r="G391" s="51"/>
      <c r="H391" s="51"/>
      <c r="I391" s="51"/>
      <c r="J391" s="51"/>
      <c r="K391" s="51"/>
      <c r="L391" s="51"/>
      <c r="M391" s="51"/>
      <c r="N391" s="51"/>
      <c r="O391" s="51"/>
      <c r="P391" s="51"/>
      <c r="Q391" s="51"/>
      <c r="R391" s="51"/>
      <c r="S391" s="51"/>
      <c r="T391" s="51"/>
      <c r="U391" s="51"/>
      <c r="V391" s="51"/>
      <c r="W391" s="51"/>
      <c r="X391" s="51"/>
      <c r="Y391" s="51"/>
      <c r="Z391" s="51"/>
      <c r="AA391" s="51"/>
      <c r="AB391" s="51"/>
      <c r="AC391" s="51"/>
      <c r="AD391" s="51"/>
    </row>
    <row r="392" spans="1:30" x14ac:dyDescent="0.25">
      <c r="A392" s="51"/>
      <c r="B392" s="51"/>
      <c r="C392" s="51"/>
      <c r="D392" s="210"/>
      <c r="E392" s="210"/>
      <c r="F392" s="51"/>
      <c r="G392" s="51"/>
      <c r="H392" s="51"/>
      <c r="I392" s="51"/>
      <c r="J392" s="51"/>
      <c r="K392" s="51"/>
      <c r="L392" s="51"/>
      <c r="M392" s="51"/>
      <c r="N392" s="51"/>
      <c r="O392" s="51"/>
      <c r="P392" s="51"/>
      <c r="Q392" s="51"/>
      <c r="R392" s="51"/>
      <c r="S392" s="51"/>
      <c r="T392" s="51"/>
      <c r="U392" s="51"/>
      <c r="V392" s="51"/>
      <c r="W392" s="51"/>
      <c r="X392" s="51"/>
      <c r="Y392" s="51"/>
      <c r="Z392" s="51"/>
      <c r="AA392" s="51"/>
      <c r="AB392" s="51"/>
      <c r="AC392" s="51"/>
      <c r="AD392" s="51"/>
    </row>
    <row r="393" spans="1:30" x14ac:dyDescent="0.25">
      <c r="A393" s="51"/>
      <c r="B393" s="51"/>
      <c r="C393" s="51"/>
      <c r="D393" s="210"/>
      <c r="E393" s="210"/>
      <c r="F393" s="51"/>
      <c r="G393" s="51"/>
      <c r="H393" s="51"/>
      <c r="I393" s="51"/>
      <c r="J393" s="51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</row>
    <row r="394" spans="1:30" x14ac:dyDescent="0.25">
      <c r="A394" s="51"/>
      <c r="B394" s="51"/>
      <c r="C394" s="51"/>
      <c r="D394" s="210"/>
      <c r="E394" s="210"/>
      <c r="F394" s="51"/>
      <c r="G394" s="51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  <c r="S394" s="51"/>
      <c r="T394" s="51"/>
      <c r="U394" s="51"/>
      <c r="V394" s="51"/>
      <c r="W394" s="51"/>
      <c r="X394" s="51"/>
      <c r="Y394" s="51"/>
      <c r="Z394" s="51"/>
      <c r="AA394" s="51"/>
      <c r="AB394" s="51"/>
      <c r="AC394" s="51"/>
      <c r="AD394" s="51"/>
    </row>
    <row r="395" spans="1:30" x14ac:dyDescent="0.25">
      <c r="A395" s="51"/>
      <c r="B395" s="51"/>
      <c r="C395" s="51"/>
      <c r="D395" s="210"/>
      <c r="E395" s="210"/>
      <c r="F395" s="51"/>
      <c r="G395" s="51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  <c r="S395" s="51"/>
      <c r="T395" s="51"/>
      <c r="U395" s="51"/>
      <c r="V395" s="51"/>
      <c r="W395" s="51"/>
      <c r="X395" s="51"/>
      <c r="Y395" s="51"/>
      <c r="Z395" s="51"/>
      <c r="AA395" s="51"/>
      <c r="AB395" s="51"/>
      <c r="AC395" s="51"/>
      <c r="AD395" s="51"/>
    </row>
    <row r="396" spans="1:30" x14ac:dyDescent="0.25">
      <c r="A396" s="51"/>
      <c r="B396" s="51"/>
      <c r="C396" s="51"/>
      <c r="D396" s="210"/>
      <c r="E396" s="210"/>
      <c r="F396" s="51"/>
      <c r="G396" s="51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</row>
    <row r="397" spans="1:30" x14ac:dyDescent="0.25">
      <c r="A397" s="51"/>
      <c r="B397" s="51"/>
      <c r="C397" s="51"/>
      <c r="D397" s="210"/>
      <c r="E397" s="210"/>
      <c r="F397" s="51"/>
      <c r="G397" s="51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  <c r="S397" s="51"/>
      <c r="T397" s="51"/>
      <c r="U397" s="51"/>
      <c r="V397" s="51"/>
      <c r="W397" s="51"/>
      <c r="X397" s="51"/>
      <c r="Y397" s="51"/>
      <c r="Z397" s="51"/>
      <c r="AA397" s="51"/>
      <c r="AB397" s="51"/>
      <c r="AC397" s="51"/>
      <c r="AD397" s="51"/>
    </row>
    <row r="398" spans="1:30" x14ac:dyDescent="0.25">
      <c r="A398" s="51"/>
      <c r="B398" s="51"/>
      <c r="C398" s="51"/>
      <c r="D398" s="210"/>
      <c r="E398" s="210"/>
      <c r="F398" s="51"/>
      <c r="G398" s="51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  <c r="S398" s="51"/>
      <c r="T398" s="51"/>
      <c r="U398" s="51"/>
      <c r="V398" s="51"/>
      <c r="W398" s="51"/>
      <c r="X398" s="51"/>
      <c r="Y398" s="51"/>
      <c r="Z398" s="51"/>
      <c r="AA398" s="51"/>
      <c r="AB398" s="51"/>
      <c r="AC398" s="51"/>
      <c r="AD398" s="51"/>
    </row>
    <row r="399" spans="1:30" x14ac:dyDescent="0.25">
      <c r="A399" s="51"/>
      <c r="B399" s="51"/>
      <c r="C399" s="51"/>
      <c r="D399" s="210"/>
      <c r="E399" s="210"/>
      <c r="F399" s="51"/>
      <c r="G399" s="51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  <c r="S399" s="51"/>
      <c r="T399" s="51"/>
      <c r="U399" s="51"/>
      <c r="V399" s="51"/>
      <c r="W399" s="51"/>
      <c r="X399" s="51"/>
      <c r="Y399" s="51"/>
      <c r="Z399" s="51"/>
      <c r="AA399" s="51"/>
      <c r="AB399" s="51"/>
      <c r="AC399" s="51"/>
      <c r="AD399" s="51"/>
    </row>
    <row r="400" spans="1:30" x14ac:dyDescent="0.25">
      <c r="A400" s="51"/>
      <c r="B400" s="51"/>
      <c r="C400" s="51"/>
      <c r="D400" s="210"/>
      <c r="E400" s="210"/>
      <c r="F400" s="51"/>
      <c r="G400" s="51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  <c r="S400" s="51"/>
      <c r="T400" s="51"/>
      <c r="U400" s="51"/>
      <c r="V400" s="51"/>
      <c r="W400" s="51"/>
      <c r="X400" s="51"/>
      <c r="Y400" s="51"/>
      <c r="Z400" s="51"/>
      <c r="AA400" s="51"/>
      <c r="AB400" s="51"/>
      <c r="AC400" s="51"/>
      <c r="AD400" s="51"/>
    </row>
    <row r="401" spans="1:30" x14ac:dyDescent="0.25">
      <c r="A401" s="51"/>
      <c r="B401" s="51"/>
      <c r="C401" s="51"/>
      <c r="D401" s="210"/>
      <c r="E401" s="210"/>
      <c r="F401" s="51"/>
      <c r="G401" s="51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  <c r="S401" s="51"/>
      <c r="T401" s="51"/>
      <c r="U401" s="51"/>
      <c r="V401" s="51"/>
      <c r="W401" s="51"/>
      <c r="X401" s="51"/>
      <c r="Y401" s="51"/>
      <c r="Z401" s="51"/>
      <c r="AA401" s="51"/>
      <c r="AB401" s="51"/>
      <c r="AC401" s="51"/>
      <c r="AD401" s="51"/>
    </row>
    <row r="402" spans="1:30" x14ac:dyDescent="0.25">
      <c r="A402" s="51"/>
      <c r="B402" s="51"/>
      <c r="C402" s="51"/>
      <c r="D402" s="210"/>
      <c r="E402" s="210"/>
      <c r="F402" s="51"/>
      <c r="G402" s="51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  <c r="S402" s="51"/>
      <c r="T402" s="51"/>
      <c r="U402" s="51"/>
      <c r="V402" s="51"/>
      <c r="W402" s="51"/>
      <c r="X402" s="51"/>
      <c r="Y402" s="51"/>
      <c r="Z402" s="51"/>
      <c r="AA402" s="51"/>
      <c r="AB402" s="51"/>
      <c r="AC402" s="51"/>
      <c r="AD402" s="51"/>
    </row>
    <row r="403" spans="1:30" x14ac:dyDescent="0.25">
      <c r="A403" s="51"/>
      <c r="B403" s="51"/>
      <c r="C403" s="51"/>
      <c r="D403" s="210"/>
      <c r="E403" s="210"/>
      <c r="F403" s="51"/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  <c r="S403" s="51"/>
      <c r="T403" s="51"/>
      <c r="U403" s="51"/>
      <c r="V403" s="51"/>
      <c r="W403" s="51"/>
      <c r="X403" s="51"/>
      <c r="Y403" s="51"/>
      <c r="Z403" s="51"/>
      <c r="AA403" s="51"/>
      <c r="AB403" s="51"/>
      <c r="AC403" s="51"/>
      <c r="AD403" s="51"/>
    </row>
    <row r="404" spans="1:30" x14ac:dyDescent="0.25">
      <c r="A404" s="51"/>
      <c r="B404" s="51"/>
      <c r="C404" s="51"/>
      <c r="D404" s="210"/>
      <c r="E404" s="210"/>
      <c r="F404" s="51"/>
      <c r="G404" s="51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  <c r="S404" s="51"/>
      <c r="T404" s="51"/>
      <c r="U404" s="51"/>
      <c r="V404" s="51"/>
      <c r="W404" s="51"/>
      <c r="X404" s="51"/>
      <c r="Y404" s="51"/>
      <c r="Z404" s="51"/>
      <c r="AA404" s="51"/>
      <c r="AB404" s="51"/>
      <c r="AC404" s="51"/>
      <c r="AD404" s="51"/>
    </row>
    <row r="405" spans="1:30" x14ac:dyDescent="0.25">
      <c r="A405" s="51"/>
      <c r="B405" s="51"/>
      <c r="C405" s="51"/>
      <c r="D405" s="210"/>
      <c r="E405" s="210"/>
      <c r="F405" s="51"/>
      <c r="G405" s="51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</row>
    <row r="406" spans="1:30" x14ac:dyDescent="0.25">
      <c r="A406" s="51"/>
      <c r="B406" s="51"/>
      <c r="C406" s="51"/>
      <c r="D406" s="210"/>
      <c r="E406" s="210"/>
      <c r="F406" s="51"/>
      <c r="G406" s="51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  <c r="S406" s="51"/>
      <c r="T406" s="51"/>
      <c r="U406" s="51"/>
      <c r="V406" s="51"/>
      <c r="W406" s="51"/>
      <c r="X406" s="51"/>
      <c r="Y406" s="51"/>
      <c r="Z406" s="51"/>
      <c r="AA406" s="51"/>
      <c r="AB406" s="51"/>
      <c r="AC406" s="51"/>
      <c r="AD406" s="51"/>
    </row>
    <row r="407" spans="1:30" x14ac:dyDescent="0.25">
      <c r="A407" s="51"/>
      <c r="B407" s="51"/>
      <c r="C407" s="51"/>
      <c r="D407" s="210"/>
      <c r="E407" s="210"/>
      <c r="F407" s="51"/>
      <c r="G407" s="51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  <c r="S407" s="51"/>
      <c r="T407" s="51"/>
      <c r="U407" s="51"/>
      <c r="V407" s="51"/>
      <c r="W407" s="51"/>
      <c r="X407" s="51"/>
      <c r="Y407" s="51"/>
      <c r="Z407" s="51"/>
      <c r="AA407" s="51"/>
      <c r="AB407" s="51"/>
      <c r="AC407" s="51"/>
      <c r="AD407" s="51"/>
    </row>
    <row r="408" spans="1:30" x14ac:dyDescent="0.25">
      <c r="A408" s="51"/>
      <c r="B408" s="51"/>
      <c r="C408" s="51"/>
      <c r="D408" s="210"/>
      <c r="E408" s="210"/>
      <c r="F408" s="51"/>
      <c r="G408" s="51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</row>
    <row r="409" spans="1:30" x14ac:dyDescent="0.25">
      <c r="A409" s="51"/>
      <c r="B409" s="51"/>
      <c r="C409" s="51"/>
      <c r="D409" s="210"/>
      <c r="E409" s="210"/>
      <c r="F409" s="51"/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  <c r="S409" s="51"/>
      <c r="T409" s="51"/>
      <c r="U409" s="51"/>
      <c r="V409" s="51"/>
      <c r="W409" s="51"/>
      <c r="X409" s="51"/>
      <c r="Y409" s="51"/>
      <c r="Z409" s="51"/>
      <c r="AA409" s="51"/>
      <c r="AB409" s="51"/>
      <c r="AC409" s="51"/>
      <c r="AD409" s="51"/>
    </row>
    <row r="410" spans="1:30" x14ac:dyDescent="0.25">
      <c r="A410" s="51"/>
      <c r="B410" s="51"/>
      <c r="C410" s="51"/>
      <c r="D410" s="210"/>
      <c r="E410" s="210"/>
      <c r="F410" s="51"/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  <c r="S410" s="51"/>
      <c r="T410" s="51"/>
      <c r="U410" s="51"/>
      <c r="V410" s="51"/>
      <c r="W410" s="51"/>
      <c r="X410" s="51"/>
      <c r="Y410" s="51"/>
      <c r="Z410" s="51"/>
      <c r="AA410" s="51"/>
      <c r="AB410" s="51"/>
      <c r="AC410" s="51"/>
      <c r="AD410" s="51"/>
    </row>
    <row r="411" spans="1:30" x14ac:dyDescent="0.25">
      <c r="A411" s="51"/>
      <c r="B411" s="51"/>
      <c r="C411" s="51"/>
      <c r="D411" s="210"/>
      <c r="E411" s="210"/>
      <c r="F411" s="51"/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  <c r="S411" s="51"/>
      <c r="T411" s="51"/>
      <c r="U411" s="51"/>
      <c r="V411" s="51"/>
      <c r="W411" s="51"/>
      <c r="X411" s="51"/>
      <c r="Y411" s="51"/>
      <c r="Z411" s="51"/>
      <c r="AA411" s="51"/>
      <c r="AB411" s="51"/>
      <c r="AC411" s="51"/>
      <c r="AD411" s="51"/>
    </row>
    <row r="412" spans="1:30" x14ac:dyDescent="0.25">
      <c r="A412" s="51"/>
      <c r="B412" s="51"/>
      <c r="C412" s="51"/>
      <c r="D412" s="210"/>
      <c r="E412" s="210"/>
      <c r="F412" s="51"/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  <c r="S412" s="51"/>
      <c r="T412" s="51"/>
      <c r="U412" s="51"/>
      <c r="V412" s="51"/>
      <c r="W412" s="51"/>
      <c r="X412" s="51"/>
      <c r="Y412" s="51"/>
      <c r="Z412" s="51"/>
      <c r="AA412" s="51"/>
      <c r="AB412" s="51"/>
      <c r="AC412" s="51"/>
      <c r="AD412" s="51"/>
    </row>
    <row r="413" spans="1:30" x14ac:dyDescent="0.25">
      <c r="A413" s="51"/>
      <c r="B413" s="51"/>
      <c r="C413" s="51"/>
      <c r="D413" s="210"/>
      <c r="E413" s="210"/>
      <c r="F413" s="51"/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  <c r="S413" s="51"/>
      <c r="T413" s="51"/>
      <c r="U413" s="51"/>
      <c r="V413" s="51"/>
      <c r="W413" s="51"/>
      <c r="X413" s="51"/>
      <c r="Y413" s="51"/>
      <c r="Z413" s="51"/>
      <c r="AA413" s="51"/>
      <c r="AB413" s="51"/>
      <c r="AC413" s="51"/>
      <c r="AD413" s="51"/>
    </row>
    <row r="414" spans="1:30" x14ac:dyDescent="0.25">
      <c r="A414" s="51"/>
      <c r="B414" s="51"/>
      <c r="C414" s="51"/>
      <c r="D414" s="210"/>
      <c r="E414" s="210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</row>
    <row r="415" spans="1:30" x14ac:dyDescent="0.25">
      <c r="A415" s="51"/>
      <c r="B415" s="51"/>
      <c r="C415" s="51"/>
      <c r="D415" s="210"/>
      <c r="E415" s="210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  <c r="S415" s="51"/>
      <c r="T415" s="51"/>
      <c r="U415" s="51"/>
      <c r="V415" s="51"/>
      <c r="W415" s="51"/>
      <c r="X415" s="51"/>
      <c r="Y415" s="51"/>
      <c r="Z415" s="51"/>
      <c r="AA415" s="51"/>
      <c r="AB415" s="51"/>
      <c r="AC415" s="51"/>
      <c r="AD415" s="51"/>
    </row>
    <row r="416" spans="1:30" x14ac:dyDescent="0.25">
      <c r="A416" s="51"/>
      <c r="B416" s="51"/>
      <c r="C416" s="51"/>
      <c r="D416" s="210"/>
      <c r="E416" s="210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  <c r="S416" s="51"/>
      <c r="T416" s="51"/>
      <c r="U416" s="51"/>
      <c r="V416" s="51"/>
      <c r="W416" s="51"/>
      <c r="X416" s="51"/>
      <c r="Y416" s="51"/>
      <c r="Z416" s="51"/>
      <c r="AA416" s="51"/>
      <c r="AB416" s="51"/>
      <c r="AC416" s="51"/>
      <c r="AD416" s="51"/>
    </row>
    <row r="417" spans="1:30" x14ac:dyDescent="0.25">
      <c r="A417" s="51"/>
      <c r="B417" s="51"/>
      <c r="C417" s="51"/>
      <c r="D417" s="210"/>
      <c r="E417" s="210"/>
      <c r="F417" s="51"/>
      <c r="G417" s="51"/>
      <c r="H417" s="51"/>
      <c r="I417" s="51"/>
      <c r="J417" s="51"/>
      <c r="K417" s="51"/>
      <c r="L417" s="51"/>
      <c r="M417" s="51"/>
      <c r="N417" s="51"/>
      <c r="O417" s="51"/>
      <c r="P417" s="51"/>
      <c r="Q417" s="51"/>
      <c r="R417" s="51"/>
      <c r="S417" s="51"/>
      <c r="T417" s="51"/>
      <c r="U417" s="51"/>
      <c r="V417" s="51"/>
      <c r="W417" s="51"/>
      <c r="X417" s="51"/>
      <c r="Y417" s="51"/>
      <c r="Z417" s="51"/>
      <c r="AA417" s="51"/>
      <c r="AB417" s="51"/>
      <c r="AC417" s="51"/>
      <c r="AD417" s="51"/>
    </row>
    <row r="418" spans="1:30" x14ac:dyDescent="0.25">
      <c r="A418" s="51"/>
      <c r="B418" s="51"/>
      <c r="C418" s="51"/>
      <c r="D418" s="210"/>
      <c r="E418" s="210"/>
      <c r="F418" s="51"/>
      <c r="G418" s="51"/>
      <c r="H418" s="51"/>
      <c r="I418" s="51"/>
      <c r="J418" s="51"/>
      <c r="K418" s="51"/>
      <c r="L418" s="51"/>
      <c r="M418" s="51"/>
      <c r="N418" s="51"/>
      <c r="O418" s="51"/>
      <c r="P418" s="51"/>
      <c r="Q418" s="51"/>
      <c r="R418" s="51"/>
      <c r="S418" s="51"/>
      <c r="T418" s="51"/>
      <c r="U418" s="51"/>
      <c r="V418" s="51"/>
      <c r="W418" s="51"/>
      <c r="X418" s="51"/>
      <c r="Y418" s="51"/>
      <c r="Z418" s="51"/>
      <c r="AA418" s="51"/>
      <c r="AB418" s="51"/>
      <c r="AC418" s="51"/>
      <c r="AD418" s="51"/>
    </row>
    <row r="419" spans="1:30" x14ac:dyDescent="0.25">
      <c r="A419" s="51"/>
      <c r="B419" s="51"/>
      <c r="C419" s="51"/>
      <c r="D419" s="210"/>
      <c r="E419" s="210"/>
      <c r="F419" s="51"/>
      <c r="G419" s="51"/>
      <c r="H419" s="51"/>
      <c r="I419" s="51"/>
      <c r="J419" s="51"/>
      <c r="K419" s="51"/>
      <c r="L419" s="51"/>
      <c r="M419" s="51"/>
      <c r="N419" s="51"/>
      <c r="O419" s="51"/>
      <c r="P419" s="51"/>
      <c r="Q419" s="51"/>
      <c r="R419" s="51"/>
      <c r="S419" s="51"/>
      <c r="T419" s="51"/>
      <c r="U419" s="51"/>
      <c r="V419" s="51"/>
      <c r="W419" s="51"/>
      <c r="X419" s="51"/>
      <c r="Y419" s="51"/>
      <c r="Z419" s="51"/>
      <c r="AA419" s="51"/>
      <c r="AB419" s="51"/>
      <c r="AC419" s="51"/>
      <c r="AD419" s="51"/>
    </row>
    <row r="420" spans="1:30" x14ac:dyDescent="0.25">
      <c r="A420" s="51"/>
      <c r="B420" s="51"/>
      <c r="C420" s="51"/>
      <c r="D420" s="210"/>
      <c r="E420" s="210"/>
      <c r="F420" s="51"/>
      <c r="G420" s="51"/>
      <c r="H420" s="51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</row>
    <row r="421" spans="1:30" x14ac:dyDescent="0.25">
      <c r="A421" s="51"/>
      <c r="B421" s="51"/>
      <c r="C421" s="51"/>
      <c r="D421" s="210"/>
      <c r="E421" s="210"/>
      <c r="F421" s="51"/>
      <c r="G421" s="51"/>
      <c r="H421" s="51"/>
      <c r="I421" s="51"/>
      <c r="J421" s="51"/>
      <c r="K421" s="51"/>
      <c r="L421" s="51"/>
      <c r="M421" s="51"/>
      <c r="N421" s="51"/>
      <c r="O421" s="51"/>
      <c r="P421" s="51"/>
      <c r="Q421" s="51"/>
      <c r="R421" s="51"/>
      <c r="S421" s="51"/>
      <c r="T421" s="51"/>
      <c r="U421" s="51"/>
      <c r="V421" s="51"/>
      <c r="W421" s="51"/>
      <c r="X421" s="51"/>
      <c r="Y421" s="51"/>
      <c r="Z421" s="51"/>
      <c r="AA421" s="51"/>
      <c r="AB421" s="51"/>
      <c r="AC421" s="51"/>
      <c r="AD421" s="51"/>
    </row>
    <row r="422" spans="1:30" x14ac:dyDescent="0.25">
      <c r="A422" s="51"/>
      <c r="B422" s="51"/>
      <c r="C422" s="51"/>
      <c r="D422" s="210"/>
      <c r="E422" s="210"/>
      <c r="F422" s="51"/>
      <c r="G422" s="51"/>
      <c r="H422" s="51"/>
      <c r="I422" s="51"/>
      <c r="J422" s="51"/>
      <c r="K422" s="51"/>
      <c r="L422" s="51"/>
      <c r="M422" s="51"/>
      <c r="N422" s="51"/>
      <c r="O422" s="51"/>
      <c r="P422" s="51"/>
      <c r="Q422" s="51"/>
      <c r="R422" s="51"/>
      <c r="S422" s="51"/>
      <c r="T422" s="51"/>
      <c r="U422" s="51"/>
      <c r="V422" s="51"/>
      <c r="W422" s="51"/>
      <c r="X422" s="51"/>
      <c r="Y422" s="51"/>
      <c r="Z422" s="51"/>
      <c r="AA422" s="51"/>
      <c r="AB422" s="51"/>
      <c r="AC422" s="51"/>
      <c r="AD422" s="51"/>
    </row>
    <row r="423" spans="1:30" x14ac:dyDescent="0.25">
      <c r="A423" s="51"/>
      <c r="B423" s="51"/>
      <c r="C423" s="51"/>
      <c r="D423" s="210"/>
      <c r="E423" s="210"/>
      <c r="F423" s="51"/>
      <c r="G423" s="51"/>
      <c r="H423" s="51"/>
      <c r="I423" s="51"/>
      <c r="J423" s="51"/>
      <c r="K423" s="51"/>
      <c r="L423" s="51"/>
      <c r="M423" s="51"/>
      <c r="N423" s="51"/>
      <c r="O423" s="51"/>
      <c r="P423" s="51"/>
      <c r="Q423" s="51"/>
      <c r="R423" s="51"/>
      <c r="S423" s="51"/>
      <c r="T423" s="51"/>
      <c r="U423" s="51"/>
      <c r="V423" s="51"/>
      <c r="W423" s="51"/>
      <c r="X423" s="51"/>
      <c r="Y423" s="51"/>
      <c r="Z423" s="51"/>
      <c r="AA423" s="51"/>
      <c r="AB423" s="51"/>
      <c r="AC423" s="51"/>
      <c r="AD423" s="51"/>
    </row>
    <row r="424" spans="1:30" x14ac:dyDescent="0.25">
      <c r="A424" s="51"/>
      <c r="B424" s="51"/>
      <c r="C424" s="51"/>
      <c r="D424" s="210"/>
      <c r="E424" s="210"/>
      <c r="F424" s="51"/>
      <c r="G424" s="51"/>
      <c r="H424" s="51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</row>
    <row r="425" spans="1:30" x14ac:dyDescent="0.25">
      <c r="A425" s="51"/>
      <c r="B425" s="51"/>
      <c r="C425" s="51"/>
      <c r="D425" s="210"/>
      <c r="E425" s="210"/>
      <c r="F425" s="51"/>
      <c r="G425" s="51"/>
      <c r="H425" s="51"/>
      <c r="I425" s="51"/>
      <c r="J425" s="51"/>
      <c r="K425" s="51"/>
      <c r="L425" s="51"/>
      <c r="M425" s="51"/>
      <c r="N425" s="51"/>
      <c r="O425" s="51"/>
      <c r="P425" s="51"/>
      <c r="Q425" s="51"/>
      <c r="R425" s="51"/>
      <c r="S425" s="51"/>
      <c r="T425" s="51"/>
      <c r="U425" s="51"/>
      <c r="V425" s="51"/>
      <c r="W425" s="51"/>
      <c r="X425" s="51"/>
      <c r="Y425" s="51"/>
      <c r="Z425" s="51"/>
      <c r="AA425" s="51"/>
      <c r="AB425" s="51"/>
      <c r="AC425" s="51"/>
      <c r="AD425" s="51"/>
    </row>
    <row r="426" spans="1:30" x14ac:dyDescent="0.25">
      <c r="A426" s="51"/>
      <c r="B426" s="51"/>
      <c r="C426" s="51"/>
      <c r="D426" s="210"/>
      <c r="E426" s="210"/>
      <c r="F426" s="51"/>
      <c r="G426" s="51"/>
      <c r="H426" s="51"/>
      <c r="I426" s="51"/>
      <c r="J426" s="51"/>
      <c r="K426" s="51"/>
      <c r="L426" s="51"/>
      <c r="M426" s="51"/>
      <c r="N426" s="51"/>
      <c r="O426" s="51"/>
      <c r="P426" s="51"/>
      <c r="Q426" s="51"/>
      <c r="R426" s="51"/>
      <c r="S426" s="51"/>
      <c r="T426" s="51"/>
      <c r="U426" s="51"/>
      <c r="V426" s="51"/>
      <c r="W426" s="51"/>
      <c r="X426" s="51"/>
      <c r="Y426" s="51"/>
      <c r="Z426" s="51"/>
      <c r="AA426" s="51"/>
      <c r="AB426" s="51"/>
      <c r="AC426" s="51"/>
      <c r="AD426" s="51"/>
    </row>
    <row r="427" spans="1:30" x14ac:dyDescent="0.25">
      <c r="A427" s="51"/>
      <c r="B427" s="51"/>
      <c r="C427" s="51"/>
      <c r="D427" s="210"/>
      <c r="E427" s="210"/>
      <c r="F427" s="51"/>
      <c r="G427" s="51"/>
      <c r="H427" s="51"/>
      <c r="I427" s="51"/>
      <c r="J427" s="51"/>
      <c r="K427" s="51"/>
      <c r="L427" s="51"/>
      <c r="M427" s="51"/>
      <c r="N427" s="51"/>
      <c r="O427" s="51"/>
      <c r="P427" s="51"/>
      <c r="Q427" s="51"/>
      <c r="R427" s="51"/>
      <c r="S427" s="51"/>
      <c r="T427" s="51"/>
      <c r="U427" s="51"/>
      <c r="V427" s="51"/>
      <c r="W427" s="51"/>
      <c r="X427" s="51"/>
      <c r="Y427" s="51"/>
      <c r="Z427" s="51"/>
      <c r="AA427" s="51"/>
      <c r="AB427" s="51"/>
      <c r="AC427" s="51"/>
      <c r="AD427" s="51"/>
    </row>
    <row r="428" spans="1:30" x14ac:dyDescent="0.25">
      <c r="A428" s="51"/>
      <c r="B428" s="51"/>
      <c r="C428" s="51"/>
      <c r="D428" s="210"/>
      <c r="E428" s="210"/>
      <c r="F428" s="51"/>
      <c r="G428" s="51"/>
      <c r="H428" s="51"/>
      <c r="I428" s="51"/>
      <c r="J428" s="51"/>
      <c r="K428" s="51"/>
      <c r="L428" s="51"/>
      <c r="M428" s="51"/>
      <c r="N428" s="51"/>
      <c r="O428" s="51"/>
      <c r="P428" s="51"/>
      <c r="Q428" s="51"/>
      <c r="R428" s="51"/>
      <c r="S428" s="51"/>
      <c r="T428" s="51"/>
      <c r="U428" s="51"/>
      <c r="V428" s="51"/>
      <c r="W428" s="51"/>
      <c r="X428" s="51"/>
      <c r="Y428" s="51"/>
      <c r="Z428" s="51"/>
      <c r="AA428" s="51"/>
      <c r="AB428" s="51"/>
      <c r="AC428" s="51"/>
      <c r="AD428" s="51"/>
    </row>
    <row r="429" spans="1:30" x14ac:dyDescent="0.25">
      <c r="A429" s="51"/>
      <c r="B429" s="51"/>
      <c r="C429" s="51"/>
      <c r="D429" s="210"/>
      <c r="E429" s="210"/>
      <c r="F429" s="51"/>
      <c r="G429" s="51"/>
      <c r="H429" s="51"/>
      <c r="I429" s="51"/>
      <c r="J429" s="51"/>
      <c r="K429" s="51"/>
      <c r="L429" s="51"/>
      <c r="M429" s="51"/>
      <c r="N429" s="51"/>
      <c r="O429" s="51"/>
      <c r="P429" s="51"/>
      <c r="Q429" s="51"/>
      <c r="R429" s="51"/>
      <c r="S429" s="51"/>
      <c r="T429" s="51"/>
      <c r="U429" s="51"/>
      <c r="V429" s="51"/>
      <c r="W429" s="51"/>
      <c r="X429" s="51"/>
      <c r="Y429" s="51"/>
      <c r="Z429" s="51"/>
      <c r="AA429" s="51"/>
      <c r="AB429" s="51"/>
      <c r="AC429" s="51"/>
      <c r="AD429" s="51"/>
    </row>
    <row r="430" spans="1:30" x14ac:dyDescent="0.25">
      <c r="A430" s="51"/>
      <c r="B430" s="51"/>
      <c r="C430" s="51"/>
      <c r="D430" s="210"/>
      <c r="E430" s="210"/>
      <c r="F430" s="51"/>
      <c r="G430" s="51"/>
      <c r="H430" s="51"/>
      <c r="I430" s="51"/>
      <c r="J430" s="51"/>
      <c r="K430" s="51"/>
      <c r="L430" s="51"/>
      <c r="M430" s="51"/>
      <c r="N430" s="51"/>
      <c r="O430" s="51"/>
      <c r="P430" s="51"/>
      <c r="Q430" s="51"/>
      <c r="R430" s="51"/>
      <c r="S430" s="51"/>
      <c r="T430" s="51"/>
      <c r="U430" s="51"/>
      <c r="V430" s="51"/>
      <c r="W430" s="51"/>
      <c r="X430" s="51"/>
      <c r="Y430" s="51"/>
      <c r="Z430" s="51"/>
      <c r="AA430" s="51"/>
      <c r="AB430" s="51"/>
      <c r="AC430" s="51"/>
      <c r="AD430" s="51"/>
    </row>
    <row r="431" spans="1:30" x14ac:dyDescent="0.25">
      <c r="A431" s="51"/>
      <c r="B431" s="51"/>
      <c r="C431" s="51"/>
      <c r="D431" s="210"/>
      <c r="E431" s="210"/>
      <c r="F431" s="51"/>
      <c r="G431" s="51"/>
      <c r="H431" s="51"/>
      <c r="I431" s="51"/>
      <c r="J431" s="51"/>
      <c r="K431" s="51"/>
      <c r="L431" s="51"/>
      <c r="M431" s="51"/>
      <c r="N431" s="51"/>
      <c r="O431" s="51"/>
      <c r="P431" s="51"/>
      <c r="Q431" s="51"/>
      <c r="R431" s="51"/>
      <c r="S431" s="51"/>
      <c r="T431" s="51"/>
      <c r="U431" s="51"/>
      <c r="V431" s="51"/>
      <c r="W431" s="51"/>
      <c r="X431" s="51"/>
      <c r="Y431" s="51"/>
      <c r="Z431" s="51"/>
      <c r="AA431" s="51"/>
      <c r="AB431" s="51"/>
      <c r="AC431" s="51"/>
      <c r="AD431" s="51"/>
    </row>
    <row r="432" spans="1:30" x14ac:dyDescent="0.25">
      <c r="A432" s="51"/>
      <c r="B432" s="51"/>
      <c r="C432" s="51"/>
      <c r="D432" s="210"/>
      <c r="E432" s="210"/>
      <c r="F432" s="51"/>
      <c r="G432" s="51"/>
      <c r="H432" s="51"/>
      <c r="I432" s="51"/>
      <c r="J432" s="51"/>
      <c r="K432" s="51"/>
      <c r="L432" s="51"/>
      <c r="M432" s="51"/>
      <c r="N432" s="51"/>
      <c r="O432" s="51"/>
      <c r="P432" s="51"/>
      <c r="Q432" s="51"/>
      <c r="R432" s="51"/>
      <c r="S432" s="51"/>
      <c r="T432" s="51"/>
      <c r="U432" s="51"/>
      <c r="V432" s="51"/>
      <c r="W432" s="51"/>
      <c r="X432" s="51"/>
      <c r="Y432" s="51"/>
      <c r="Z432" s="51"/>
      <c r="AA432" s="51"/>
      <c r="AB432" s="51"/>
      <c r="AC432" s="51"/>
      <c r="AD432" s="51"/>
    </row>
    <row r="433" spans="1:30" x14ac:dyDescent="0.25">
      <c r="A433" s="51"/>
      <c r="B433" s="51"/>
      <c r="C433" s="51"/>
      <c r="D433" s="210"/>
      <c r="E433" s="210"/>
      <c r="F433" s="51"/>
      <c r="G433" s="51"/>
      <c r="H433" s="51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</row>
    <row r="434" spans="1:30" x14ac:dyDescent="0.25">
      <c r="A434" s="51"/>
      <c r="B434" s="51"/>
      <c r="C434" s="51"/>
      <c r="D434" s="210"/>
      <c r="E434" s="210"/>
      <c r="F434" s="51"/>
      <c r="G434" s="51"/>
      <c r="H434" s="51"/>
      <c r="I434" s="51"/>
      <c r="J434" s="51"/>
      <c r="K434" s="51"/>
      <c r="L434" s="51"/>
      <c r="M434" s="51"/>
      <c r="N434" s="51"/>
      <c r="O434" s="51"/>
      <c r="P434" s="51"/>
      <c r="Q434" s="51"/>
      <c r="R434" s="51"/>
      <c r="S434" s="51"/>
      <c r="T434" s="51"/>
      <c r="U434" s="51"/>
      <c r="V434" s="51"/>
      <c r="W434" s="51"/>
      <c r="X434" s="51"/>
      <c r="Y434" s="51"/>
      <c r="Z434" s="51"/>
      <c r="AA434" s="51"/>
      <c r="AB434" s="51"/>
      <c r="AC434" s="51"/>
      <c r="AD434" s="51"/>
    </row>
    <row r="435" spans="1:30" x14ac:dyDescent="0.25">
      <c r="A435" s="51"/>
      <c r="B435" s="51"/>
      <c r="C435" s="51"/>
      <c r="D435" s="210"/>
      <c r="E435" s="210"/>
      <c r="F435" s="51"/>
      <c r="G435" s="51"/>
      <c r="H435" s="51"/>
      <c r="I435" s="51"/>
      <c r="J435" s="51"/>
      <c r="K435" s="51"/>
      <c r="L435" s="51"/>
      <c r="M435" s="51"/>
      <c r="N435" s="51"/>
      <c r="O435" s="51"/>
      <c r="P435" s="51"/>
      <c r="Q435" s="51"/>
      <c r="R435" s="51"/>
      <c r="S435" s="51"/>
      <c r="T435" s="51"/>
      <c r="U435" s="51"/>
      <c r="V435" s="51"/>
      <c r="W435" s="51"/>
      <c r="X435" s="51"/>
      <c r="Y435" s="51"/>
      <c r="Z435" s="51"/>
      <c r="AA435" s="51"/>
      <c r="AB435" s="51"/>
      <c r="AC435" s="51"/>
      <c r="AD435" s="51"/>
    </row>
    <row r="436" spans="1:30" x14ac:dyDescent="0.25">
      <c r="A436" s="51"/>
      <c r="B436" s="51"/>
      <c r="C436" s="51"/>
      <c r="D436" s="210"/>
      <c r="E436" s="210"/>
      <c r="F436" s="51"/>
      <c r="G436" s="51"/>
      <c r="H436" s="51"/>
      <c r="I436" s="51"/>
      <c r="J436" s="51"/>
      <c r="K436" s="51"/>
      <c r="L436" s="51"/>
      <c r="M436" s="51"/>
      <c r="N436" s="51"/>
      <c r="O436" s="51"/>
      <c r="P436" s="51"/>
      <c r="Q436" s="51"/>
      <c r="R436" s="51"/>
      <c r="S436" s="51"/>
      <c r="T436" s="51"/>
      <c r="U436" s="51"/>
      <c r="V436" s="51"/>
      <c r="W436" s="51"/>
      <c r="X436" s="51"/>
      <c r="Y436" s="51"/>
      <c r="Z436" s="51"/>
      <c r="AA436" s="51"/>
      <c r="AB436" s="51"/>
      <c r="AC436" s="51"/>
      <c r="AD436" s="51"/>
    </row>
    <row r="437" spans="1:30" x14ac:dyDescent="0.25">
      <c r="A437" s="51"/>
      <c r="B437" s="51"/>
      <c r="C437" s="51"/>
      <c r="D437" s="210"/>
      <c r="E437" s="210"/>
      <c r="F437" s="51"/>
      <c r="G437" s="51"/>
      <c r="H437" s="51"/>
      <c r="I437" s="51"/>
      <c r="J437" s="51"/>
      <c r="K437" s="51"/>
      <c r="L437" s="51"/>
      <c r="M437" s="51"/>
      <c r="N437" s="51"/>
      <c r="O437" s="51"/>
      <c r="P437" s="51"/>
      <c r="Q437" s="51"/>
      <c r="R437" s="51"/>
      <c r="S437" s="51"/>
      <c r="T437" s="51"/>
      <c r="U437" s="51"/>
      <c r="V437" s="51"/>
      <c r="W437" s="51"/>
      <c r="X437" s="51"/>
      <c r="Y437" s="51"/>
      <c r="Z437" s="51"/>
      <c r="AA437" s="51"/>
      <c r="AB437" s="51"/>
      <c r="AC437" s="51"/>
      <c r="AD437" s="51"/>
    </row>
    <row r="438" spans="1:30" x14ac:dyDescent="0.25">
      <c r="A438" s="51"/>
      <c r="B438" s="51"/>
      <c r="C438" s="51"/>
      <c r="D438" s="210"/>
      <c r="E438" s="210"/>
      <c r="F438" s="51"/>
      <c r="G438" s="51"/>
      <c r="H438" s="51"/>
      <c r="I438" s="51"/>
      <c r="J438" s="51"/>
      <c r="K438" s="51"/>
      <c r="L438" s="51"/>
      <c r="M438" s="51"/>
      <c r="N438" s="51"/>
      <c r="O438" s="51"/>
      <c r="P438" s="51"/>
      <c r="Q438" s="51"/>
      <c r="R438" s="51"/>
      <c r="S438" s="51"/>
      <c r="T438" s="51"/>
      <c r="U438" s="51"/>
      <c r="V438" s="51"/>
      <c r="W438" s="51"/>
      <c r="X438" s="51"/>
      <c r="Y438" s="51"/>
      <c r="Z438" s="51"/>
      <c r="AA438" s="51"/>
      <c r="AB438" s="51"/>
      <c r="AC438" s="51"/>
      <c r="AD438" s="51"/>
    </row>
    <row r="439" spans="1:30" x14ac:dyDescent="0.25">
      <c r="A439" s="51"/>
      <c r="B439" s="51"/>
      <c r="C439" s="51"/>
      <c r="D439" s="210"/>
      <c r="E439" s="210"/>
      <c r="F439" s="51"/>
      <c r="G439" s="51"/>
      <c r="H439" s="51"/>
      <c r="I439" s="51"/>
      <c r="J439" s="51"/>
      <c r="K439" s="51"/>
      <c r="L439" s="51"/>
      <c r="M439" s="51"/>
      <c r="N439" s="51"/>
      <c r="O439" s="51"/>
      <c r="P439" s="51"/>
      <c r="Q439" s="51"/>
      <c r="R439" s="51"/>
      <c r="S439" s="51"/>
      <c r="T439" s="51"/>
      <c r="U439" s="51"/>
      <c r="V439" s="51"/>
      <c r="W439" s="51"/>
      <c r="X439" s="51"/>
      <c r="Y439" s="51"/>
      <c r="Z439" s="51"/>
      <c r="AA439" s="51"/>
      <c r="AB439" s="51"/>
      <c r="AC439" s="51"/>
      <c r="AD439" s="51"/>
    </row>
    <row r="440" spans="1:30" x14ac:dyDescent="0.25">
      <c r="A440" s="51"/>
      <c r="B440" s="51"/>
      <c r="C440" s="51"/>
      <c r="D440" s="210"/>
      <c r="E440" s="210"/>
      <c r="F440" s="51"/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  <c r="S440" s="51"/>
      <c r="T440" s="51"/>
      <c r="U440" s="51"/>
      <c r="V440" s="51"/>
      <c r="W440" s="51"/>
      <c r="X440" s="51"/>
      <c r="Y440" s="51"/>
      <c r="Z440" s="51"/>
      <c r="AA440" s="51"/>
      <c r="AB440" s="51"/>
      <c r="AC440" s="51"/>
      <c r="AD440" s="51"/>
    </row>
    <row r="441" spans="1:30" x14ac:dyDescent="0.25">
      <c r="A441" s="51"/>
      <c r="B441" s="51"/>
      <c r="C441" s="51"/>
      <c r="D441" s="210"/>
      <c r="E441" s="210"/>
      <c r="F441" s="51"/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  <c r="S441" s="51"/>
      <c r="T441" s="51"/>
      <c r="U441" s="51"/>
      <c r="V441" s="51"/>
      <c r="W441" s="51"/>
      <c r="X441" s="51"/>
      <c r="Y441" s="51"/>
      <c r="Z441" s="51"/>
      <c r="AA441" s="51"/>
      <c r="AB441" s="51"/>
      <c r="AC441" s="51"/>
      <c r="AD441" s="51"/>
    </row>
    <row r="442" spans="1:30" x14ac:dyDescent="0.25">
      <c r="A442" s="51"/>
      <c r="B442" s="51"/>
      <c r="C442" s="51"/>
      <c r="D442" s="210"/>
      <c r="E442" s="210"/>
      <c r="F442" s="51"/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  <c r="S442" s="51"/>
      <c r="T442" s="51"/>
      <c r="U442" s="51"/>
      <c r="V442" s="51"/>
      <c r="W442" s="51"/>
      <c r="X442" s="51"/>
      <c r="Y442" s="51"/>
      <c r="Z442" s="51"/>
      <c r="AA442" s="51"/>
      <c r="AB442" s="51"/>
      <c r="AC442" s="51"/>
      <c r="AD442" s="51"/>
    </row>
    <row r="443" spans="1:30" x14ac:dyDescent="0.25">
      <c r="A443" s="51"/>
      <c r="B443" s="51"/>
      <c r="C443" s="51"/>
      <c r="D443" s="210"/>
      <c r="E443" s="210"/>
      <c r="F443" s="51"/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  <c r="S443" s="51"/>
      <c r="T443" s="51"/>
      <c r="U443" s="51"/>
      <c r="V443" s="51"/>
      <c r="W443" s="51"/>
      <c r="X443" s="51"/>
      <c r="Y443" s="51"/>
      <c r="Z443" s="51"/>
      <c r="AA443" s="51"/>
      <c r="AB443" s="51"/>
      <c r="AC443" s="51"/>
      <c r="AD443" s="51"/>
    </row>
    <row r="444" spans="1:30" x14ac:dyDescent="0.25">
      <c r="A444" s="51"/>
      <c r="B444" s="51"/>
      <c r="C444" s="51"/>
      <c r="D444" s="210"/>
      <c r="E444" s="210"/>
      <c r="F444" s="51"/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  <c r="S444" s="51"/>
      <c r="T444" s="51"/>
      <c r="U444" s="51"/>
      <c r="V444" s="51"/>
      <c r="W444" s="51"/>
      <c r="X444" s="51"/>
      <c r="Y444" s="51"/>
      <c r="Z444" s="51"/>
      <c r="AA444" s="51"/>
      <c r="AB444" s="51"/>
      <c r="AC444" s="51"/>
      <c r="AD444" s="51"/>
    </row>
    <row r="445" spans="1:30" x14ac:dyDescent="0.25">
      <c r="A445" s="51"/>
      <c r="B445" s="51"/>
      <c r="C445" s="51"/>
      <c r="D445" s="210"/>
      <c r="E445" s="210"/>
      <c r="F445" s="51"/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  <c r="S445" s="51"/>
      <c r="T445" s="51"/>
      <c r="U445" s="51"/>
      <c r="V445" s="51"/>
      <c r="W445" s="51"/>
      <c r="X445" s="51"/>
      <c r="Y445" s="51"/>
      <c r="Z445" s="51"/>
      <c r="AA445" s="51"/>
      <c r="AB445" s="51"/>
      <c r="AC445" s="51"/>
      <c r="AD445" s="51"/>
    </row>
    <row r="446" spans="1:30" x14ac:dyDescent="0.25">
      <c r="A446" s="51"/>
      <c r="B446" s="51"/>
      <c r="C446" s="51"/>
      <c r="D446" s="210"/>
      <c r="E446" s="210"/>
      <c r="F446" s="51"/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  <c r="S446" s="51"/>
      <c r="T446" s="51"/>
      <c r="U446" s="51"/>
      <c r="V446" s="51"/>
      <c r="W446" s="51"/>
      <c r="X446" s="51"/>
      <c r="Y446" s="51"/>
      <c r="Z446" s="51"/>
      <c r="AA446" s="51"/>
      <c r="AB446" s="51"/>
      <c r="AC446" s="51"/>
      <c r="AD446" s="51"/>
    </row>
    <row r="447" spans="1:30" x14ac:dyDescent="0.25">
      <c r="A447" s="51"/>
      <c r="B447" s="51"/>
      <c r="C447" s="51"/>
      <c r="D447" s="210"/>
      <c r="E447" s="210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  <c r="S447" s="51"/>
      <c r="T447" s="51"/>
      <c r="U447" s="51"/>
      <c r="V447" s="51"/>
      <c r="W447" s="51"/>
      <c r="X447" s="51"/>
      <c r="Y447" s="51"/>
      <c r="Z447" s="51"/>
      <c r="AA447" s="51"/>
      <c r="AB447" s="51"/>
      <c r="AC447" s="51"/>
      <c r="AD447" s="51"/>
    </row>
    <row r="448" spans="1:30" x14ac:dyDescent="0.25">
      <c r="A448" s="51"/>
      <c r="B448" s="51"/>
      <c r="C448" s="51"/>
      <c r="D448" s="210"/>
      <c r="E448" s="210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  <c r="S448" s="51"/>
      <c r="T448" s="51"/>
      <c r="U448" s="51"/>
      <c r="V448" s="51"/>
      <c r="W448" s="51"/>
      <c r="X448" s="51"/>
      <c r="Y448" s="51"/>
      <c r="Z448" s="51"/>
      <c r="AA448" s="51"/>
      <c r="AB448" s="51"/>
      <c r="AC448" s="51"/>
      <c r="AD448" s="51"/>
    </row>
    <row r="449" spans="1:30" x14ac:dyDescent="0.25">
      <c r="A449" s="51"/>
      <c r="B449" s="51"/>
      <c r="C449" s="51"/>
      <c r="D449" s="210"/>
      <c r="E449" s="210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  <c r="S449" s="51"/>
      <c r="T449" s="51"/>
      <c r="U449" s="51"/>
      <c r="V449" s="51"/>
      <c r="W449" s="51"/>
      <c r="X449" s="51"/>
      <c r="Y449" s="51"/>
      <c r="Z449" s="51"/>
      <c r="AA449" s="51"/>
      <c r="AB449" s="51"/>
      <c r="AC449" s="51"/>
      <c r="AD449" s="51"/>
    </row>
    <row r="450" spans="1:30" x14ac:dyDescent="0.25">
      <c r="A450" s="51"/>
      <c r="B450" s="51"/>
      <c r="C450" s="51"/>
      <c r="D450" s="210"/>
      <c r="E450" s="210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  <c r="S450" s="51"/>
      <c r="T450" s="51"/>
      <c r="U450" s="51"/>
      <c r="V450" s="51"/>
      <c r="W450" s="51"/>
      <c r="X450" s="51"/>
      <c r="Y450" s="51"/>
      <c r="Z450" s="51"/>
      <c r="AA450" s="51"/>
      <c r="AB450" s="51"/>
      <c r="AC450" s="51"/>
      <c r="AD450" s="51"/>
    </row>
    <row r="451" spans="1:30" x14ac:dyDescent="0.25">
      <c r="A451" s="51"/>
      <c r="B451" s="51"/>
      <c r="C451" s="51"/>
      <c r="D451" s="210"/>
      <c r="E451" s="210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  <c r="S451" s="51"/>
      <c r="T451" s="51"/>
      <c r="U451" s="51"/>
      <c r="V451" s="51"/>
      <c r="W451" s="51"/>
      <c r="X451" s="51"/>
      <c r="Y451" s="51"/>
      <c r="Z451" s="51"/>
      <c r="AA451" s="51"/>
      <c r="AB451" s="51"/>
      <c r="AC451" s="51"/>
      <c r="AD451" s="51"/>
    </row>
    <row r="452" spans="1:30" x14ac:dyDescent="0.25">
      <c r="A452" s="51"/>
      <c r="B452" s="51"/>
      <c r="C452" s="51"/>
      <c r="D452" s="210"/>
      <c r="E452" s="210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  <c r="S452" s="51"/>
      <c r="T452" s="51"/>
      <c r="U452" s="51"/>
      <c r="V452" s="51"/>
      <c r="W452" s="51"/>
      <c r="X452" s="51"/>
      <c r="Y452" s="51"/>
      <c r="Z452" s="51"/>
      <c r="AA452" s="51"/>
      <c r="AB452" s="51"/>
      <c r="AC452" s="51"/>
      <c r="AD452" s="51"/>
    </row>
    <row r="453" spans="1:30" x14ac:dyDescent="0.25">
      <c r="A453" s="51"/>
      <c r="B453" s="51"/>
      <c r="C453" s="51"/>
      <c r="D453" s="210"/>
      <c r="E453" s="210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  <c r="S453" s="51"/>
      <c r="T453" s="51"/>
      <c r="U453" s="51"/>
      <c r="V453" s="51"/>
      <c r="W453" s="51"/>
      <c r="X453" s="51"/>
      <c r="Y453" s="51"/>
      <c r="Z453" s="51"/>
      <c r="AA453" s="51"/>
      <c r="AB453" s="51"/>
      <c r="AC453" s="51"/>
      <c r="AD453" s="51"/>
    </row>
    <row r="454" spans="1:30" x14ac:dyDescent="0.25">
      <c r="A454" s="51"/>
      <c r="B454" s="51"/>
      <c r="C454" s="51"/>
      <c r="D454" s="210"/>
      <c r="E454" s="210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  <c r="S454" s="51"/>
      <c r="T454" s="51"/>
      <c r="U454" s="51"/>
      <c r="V454" s="51"/>
      <c r="W454" s="51"/>
      <c r="X454" s="51"/>
      <c r="Y454" s="51"/>
      <c r="Z454" s="51"/>
      <c r="AA454" s="51"/>
      <c r="AB454" s="51"/>
      <c r="AC454" s="51"/>
      <c r="AD454" s="51"/>
    </row>
    <row r="455" spans="1:30" x14ac:dyDescent="0.25">
      <c r="A455" s="51"/>
      <c r="B455" s="51"/>
      <c r="C455" s="51"/>
      <c r="D455" s="210"/>
      <c r="E455" s="210"/>
      <c r="F455" s="51"/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  <c r="S455" s="51"/>
      <c r="T455" s="51"/>
      <c r="U455" s="51"/>
      <c r="V455" s="51"/>
      <c r="W455" s="51"/>
      <c r="X455" s="51"/>
      <c r="Y455" s="51"/>
      <c r="Z455" s="51"/>
      <c r="AA455" s="51"/>
      <c r="AB455" s="51"/>
      <c r="AC455" s="51"/>
      <c r="AD455" s="51"/>
    </row>
    <row r="456" spans="1:30" x14ac:dyDescent="0.25">
      <c r="A456" s="51"/>
      <c r="B456" s="51"/>
      <c r="C456" s="51"/>
      <c r="D456" s="210"/>
      <c r="E456" s="210"/>
      <c r="F456" s="51"/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  <c r="S456" s="51"/>
      <c r="T456" s="51"/>
      <c r="U456" s="51"/>
      <c r="V456" s="51"/>
      <c r="W456" s="51"/>
      <c r="X456" s="51"/>
      <c r="Y456" s="51"/>
      <c r="Z456" s="51"/>
      <c r="AA456" s="51"/>
      <c r="AB456" s="51"/>
      <c r="AC456" s="51"/>
      <c r="AD456" s="51"/>
    </row>
    <row r="457" spans="1:30" x14ac:dyDescent="0.25">
      <c r="A457" s="51"/>
      <c r="B457" s="51"/>
      <c r="C457" s="51"/>
      <c r="D457" s="210"/>
      <c r="E457" s="210"/>
      <c r="F457" s="51"/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  <c r="S457" s="51"/>
      <c r="T457" s="51"/>
      <c r="U457" s="51"/>
      <c r="V457" s="51"/>
      <c r="W457" s="51"/>
      <c r="X457" s="51"/>
      <c r="Y457" s="51"/>
      <c r="Z457" s="51"/>
      <c r="AA457" s="51"/>
      <c r="AB457" s="51"/>
      <c r="AC457" s="51"/>
      <c r="AD457" s="51"/>
    </row>
    <row r="458" spans="1:30" x14ac:dyDescent="0.25">
      <c r="A458" s="51"/>
      <c r="B458" s="51"/>
      <c r="C458" s="51"/>
      <c r="D458" s="210"/>
      <c r="E458" s="210"/>
      <c r="F458" s="51"/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  <c r="S458" s="51"/>
      <c r="T458" s="51"/>
      <c r="U458" s="51"/>
      <c r="V458" s="51"/>
      <c r="W458" s="51"/>
      <c r="X458" s="51"/>
      <c r="Y458" s="51"/>
      <c r="Z458" s="51"/>
      <c r="AA458" s="51"/>
      <c r="AB458" s="51"/>
      <c r="AC458" s="51"/>
      <c r="AD458" s="51"/>
    </row>
    <row r="459" spans="1:30" x14ac:dyDescent="0.25">
      <c r="A459" s="51"/>
      <c r="B459" s="51"/>
      <c r="C459" s="51"/>
      <c r="D459" s="210"/>
      <c r="E459" s="210"/>
      <c r="F459" s="51"/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  <c r="S459" s="51"/>
      <c r="T459" s="51"/>
      <c r="U459" s="51"/>
      <c r="V459" s="51"/>
      <c r="W459" s="51"/>
      <c r="X459" s="51"/>
      <c r="Y459" s="51"/>
      <c r="Z459" s="51"/>
      <c r="AA459" s="51"/>
      <c r="AB459" s="51"/>
      <c r="AC459" s="51"/>
      <c r="AD459" s="51"/>
    </row>
    <row r="460" spans="1:30" x14ac:dyDescent="0.25">
      <c r="A460" s="51"/>
      <c r="B460" s="51"/>
      <c r="C460" s="51"/>
      <c r="D460" s="210"/>
      <c r="E460" s="210"/>
      <c r="F460" s="51"/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  <c r="S460" s="51"/>
      <c r="T460" s="51"/>
      <c r="U460" s="51"/>
      <c r="V460" s="51"/>
      <c r="W460" s="51"/>
      <c r="X460" s="51"/>
      <c r="Y460" s="51"/>
      <c r="Z460" s="51"/>
      <c r="AA460" s="51"/>
      <c r="AB460" s="51"/>
      <c r="AC460" s="51"/>
      <c r="AD460" s="51"/>
    </row>
    <row r="461" spans="1:30" x14ac:dyDescent="0.25">
      <c r="A461" s="51"/>
      <c r="B461" s="51"/>
      <c r="C461" s="51"/>
      <c r="D461" s="210"/>
      <c r="E461" s="210"/>
      <c r="F461" s="51"/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  <c r="S461" s="51"/>
      <c r="T461" s="51"/>
      <c r="U461" s="51"/>
      <c r="V461" s="51"/>
      <c r="W461" s="51"/>
      <c r="X461" s="51"/>
      <c r="Y461" s="51"/>
      <c r="Z461" s="51"/>
      <c r="AA461" s="51"/>
      <c r="AB461" s="51"/>
      <c r="AC461" s="51"/>
      <c r="AD461" s="51"/>
    </row>
    <row r="462" spans="1:30" x14ac:dyDescent="0.25">
      <c r="A462" s="51"/>
      <c r="B462" s="51"/>
      <c r="C462" s="51"/>
      <c r="D462" s="210"/>
      <c r="E462" s="210"/>
      <c r="F462" s="51"/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  <c r="S462" s="51"/>
      <c r="T462" s="51"/>
      <c r="U462" s="51"/>
      <c r="V462" s="51"/>
      <c r="W462" s="51"/>
      <c r="X462" s="51"/>
      <c r="Y462" s="51"/>
      <c r="Z462" s="51"/>
      <c r="AA462" s="51"/>
      <c r="AB462" s="51"/>
      <c r="AC462" s="51"/>
      <c r="AD462" s="51"/>
    </row>
    <row r="463" spans="1:30" x14ac:dyDescent="0.25">
      <c r="A463" s="51"/>
      <c r="B463" s="51"/>
      <c r="C463" s="51"/>
      <c r="D463" s="210"/>
      <c r="E463" s="210"/>
      <c r="F463" s="51"/>
      <c r="G463" s="51"/>
      <c r="H463" s="51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</row>
    <row r="464" spans="1:30" x14ac:dyDescent="0.25">
      <c r="A464" s="51"/>
      <c r="B464" s="51"/>
      <c r="C464" s="51"/>
      <c r="D464" s="210"/>
      <c r="E464" s="210"/>
      <c r="F464" s="51"/>
      <c r="G464" s="51"/>
      <c r="H464" s="51"/>
      <c r="I464" s="51"/>
      <c r="J464" s="51"/>
      <c r="K464" s="51"/>
      <c r="L464" s="51"/>
      <c r="M464" s="51"/>
      <c r="N464" s="51"/>
      <c r="O464" s="51"/>
      <c r="P464" s="51"/>
      <c r="Q464" s="51"/>
      <c r="R464" s="51"/>
      <c r="S464" s="51"/>
      <c r="T464" s="51"/>
      <c r="U464" s="51"/>
      <c r="V464" s="51"/>
      <c r="W464" s="51"/>
      <c r="X464" s="51"/>
      <c r="Y464" s="51"/>
      <c r="Z464" s="51"/>
      <c r="AA464" s="51"/>
      <c r="AB464" s="51"/>
      <c r="AC464" s="51"/>
      <c r="AD464" s="51"/>
    </row>
    <row r="465" spans="1:30" x14ac:dyDescent="0.25">
      <c r="A465" s="51"/>
      <c r="B465" s="51"/>
      <c r="C465" s="51"/>
      <c r="D465" s="210"/>
      <c r="E465" s="210"/>
      <c r="F465" s="51"/>
      <c r="G465" s="51"/>
      <c r="H465" s="51"/>
      <c r="I465" s="51"/>
      <c r="J465" s="51"/>
      <c r="K465" s="51"/>
      <c r="L465" s="51"/>
      <c r="M465" s="51"/>
      <c r="N465" s="51"/>
      <c r="O465" s="51"/>
      <c r="P465" s="51"/>
      <c r="Q465" s="51"/>
      <c r="R465" s="51"/>
      <c r="S465" s="51"/>
      <c r="T465" s="51"/>
      <c r="U465" s="51"/>
      <c r="V465" s="51"/>
      <c r="W465" s="51"/>
      <c r="X465" s="51"/>
      <c r="Y465" s="51"/>
      <c r="Z465" s="51"/>
      <c r="AA465" s="51"/>
      <c r="AB465" s="51"/>
      <c r="AC465" s="51"/>
      <c r="AD465" s="51"/>
    </row>
    <row r="466" spans="1:30" x14ac:dyDescent="0.25">
      <c r="A466" s="51"/>
      <c r="B466" s="51"/>
      <c r="C466" s="51"/>
      <c r="D466" s="210"/>
      <c r="E466" s="210"/>
      <c r="F466" s="51"/>
      <c r="G466" s="51"/>
      <c r="H466" s="51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</row>
    <row r="467" spans="1:30" x14ac:dyDescent="0.25">
      <c r="A467" s="51"/>
      <c r="B467" s="51"/>
      <c r="C467" s="51"/>
      <c r="D467" s="210"/>
      <c r="E467" s="210"/>
      <c r="F467" s="51"/>
      <c r="G467" s="51"/>
      <c r="H467" s="51"/>
      <c r="I467" s="51"/>
      <c r="J467" s="51"/>
      <c r="K467" s="51"/>
      <c r="L467" s="51"/>
      <c r="M467" s="51"/>
      <c r="N467" s="51"/>
      <c r="O467" s="51"/>
      <c r="P467" s="51"/>
      <c r="Q467" s="51"/>
      <c r="R467" s="51"/>
      <c r="S467" s="51"/>
      <c r="T467" s="51"/>
      <c r="U467" s="51"/>
      <c r="V467" s="51"/>
      <c r="W467" s="51"/>
      <c r="X467" s="51"/>
      <c r="Y467" s="51"/>
      <c r="Z467" s="51"/>
      <c r="AA467" s="51"/>
      <c r="AB467" s="51"/>
      <c r="AC467" s="51"/>
      <c r="AD467" s="51"/>
    </row>
    <row r="468" spans="1:30" x14ac:dyDescent="0.25">
      <c r="A468" s="51"/>
      <c r="B468" s="51"/>
      <c r="C468" s="51"/>
      <c r="D468" s="210"/>
      <c r="E468" s="210"/>
      <c r="F468" s="51"/>
      <c r="G468" s="51"/>
      <c r="H468" s="51"/>
      <c r="I468" s="51"/>
      <c r="J468" s="51"/>
      <c r="K468" s="51"/>
      <c r="L468" s="51"/>
      <c r="M468" s="51"/>
      <c r="N468" s="51"/>
      <c r="O468" s="51"/>
      <c r="P468" s="51"/>
      <c r="Q468" s="51"/>
      <c r="R468" s="51"/>
      <c r="S468" s="51"/>
      <c r="T468" s="51"/>
      <c r="U468" s="51"/>
      <c r="V468" s="51"/>
      <c r="W468" s="51"/>
      <c r="X468" s="51"/>
      <c r="Y468" s="51"/>
      <c r="Z468" s="51"/>
      <c r="AA468" s="51"/>
      <c r="AB468" s="51"/>
      <c r="AC468" s="51"/>
      <c r="AD468" s="51"/>
    </row>
    <row r="469" spans="1:30" x14ac:dyDescent="0.25">
      <c r="A469" s="51"/>
      <c r="B469" s="51"/>
      <c r="C469" s="51"/>
      <c r="D469" s="210"/>
      <c r="E469" s="210"/>
      <c r="F469" s="51"/>
      <c r="G469" s="51"/>
      <c r="H469" s="51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</row>
    <row r="470" spans="1:30" x14ac:dyDescent="0.25">
      <c r="A470" s="51"/>
      <c r="B470" s="51"/>
      <c r="C470" s="51"/>
      <c r="D470" s="210"/>
      <c r="E470" s="210"/>
      <c r="F470" s="51"/>
      <c r="G470" s="51"/>
      <c r="H470" s="51"/>
      <c r="I470" s="51"/>
      <c r="J470" s="51"/>
      <c r="K470" s="51"/>
      <c r="L470" s="51"/>
      <c r="M470" s="51"/>
      <c r="N470" s="51"/>
      <c r="O470" s="51"/>
      <c r="P470" s="51"/>
      <c r="Q470" s="51"/>
      <c r="R470" s="51"/>
      <c r="S470" s="51"/>
      <c r="T470" s="51"/>
      <c r="U470" s="51"/>
      <c r="V470" s="51"/>
      <c r="W470" s="51"/>
      <c r="X470" s="51"/>
      <c r="Y470" s="51"/>
      <c r="Z470" s="51"/>
      <c r="AA470" s="51"/>
      <c r="AB470" s="51"/>
      <c r="AC470" s="51"/>
      <c r="AD470" s="51"/>
    </row>
    <row r="471" spans="1:30" x14ac:dyDescent="0.25">
      <c r="A471" s="51"/>
      <c r="B471" s="51"/>
      <c r="C471" s="51"/>
      <c r="D471" s="210"/>
      <c r="E471" s="210"/>
      <c r="F471" s="51"/>
      <c r="G471" s="51"/>
      <c r="H471" s="51"/>
      <c r="I471" s="51"/>
      <c r="J471" s="51"/>
      <c r="K471" s="51"/>
      <c r="L471" s="51"/>
      <c r="M471" s="51"/>
      <c r="N471" s="51"/>
      <c r="O471" s="51"/>
      <c r="P471" s="51"/>
      <c r="Q471" s="51"/>
      <c r="R471" s="51"/>
      <c r="S471" s="51"/>
      <c r="T471" s="51"/>
      <c r="U471" s="51"/>
      <c r="V471" s="51"/>
      <c r="W471" s="51"/>
      <c r="X471" s="51"/>
      <c r="Y471" s="51"/>
      <c r="Z471" s="51"/>
      <c r="AA471" s="51"/>
      <c r="AB471" s="51"/>
      <c r="AC471" s="51"/>
      <c r="AD471" s="51"/>
    </row>
    <row r="472" spans="1:30" x14ac:dyDescent="0.25">
      <c r="A472" s="51"/>
      <c r="B472" s="51"/>
      <c r="C472" s="51"/>
      <c r="D472" s="210"/>
      <c r="E472" s="210"/>
      <c r="F472" s="51"/>
      <c r="G472" s="51"/>
      <c r="H472" s="51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</row>
    <row r="473" spans="1:30" x14ac:dyDescent="0.25">
      <c r="A473" s="51"/>
      <c r="B473" s="51"/>
      <c r="C473" s="51"/>
      <c r="D473" s="210"/>
      <c r="E473" s="210"/>
      <c r="F473" s="51"/>
      <c r="G473" s="51"/>
      <c r="H473" s="51"/>
      <c r="I473" s="51"/>
      <c r="J473" s="51"/>
      <c r="K473" s="51"/>
      <c r="L473" s="51"/>
      <c r="M473" s="51"/>
      <c r="N473" s="51"/>
      <c r="O473" s="51"/>
      <c r="P473" s="51"/>
      <c r="Q473" s="51"/>
      <c r="R473" s="51"/>
      <c r="S473" s="51"/>
      <c r="T473" s="51"/>
      <c r="U473" s="51"/>
      <c r="V473" s="51"/>
      <c r="W473" s="51"/>
      <c r="X473" s="51"/>
      <c r="Y473" s="51"/>
      <c r="Z473" s="51"/>
      <c r="AA473" s="51"/>
      <c r="AB473" s="51"/>
      <c r="AC473" s="51"/>
      <c r="AD473" s="51"/>
    </row>
    <row r="474" spans="1:30" x14ac:dyDescent="0.25">
      <c r="A474" s="51"/>
      <c r="B474" s="51"/>
      <c r="C474" s="51"/>
      <c r="D474" s="210"/>
      <c r="E474" s="210"/>
      <c r="F474" s="51"/>
      <c r="G474" s="51"/>
      <c r="H474" s="51"/>
      <c r="I474" s="51"/>
      <c r="J474" s="51"/>
      <c r="K474" s="51"/>
      <c r="L474" s="51"/>
      <c r="M474" s="51"/>
      <c r="N474" s="51"/>
      <c r="O474" s="51"/>
      <c r="P474" s="51"/>
      <c r="Q474" s="51"/>
      <c r="R474" s="51"/>
      <c r="S474" s="51"/>
      <c r="T474" s="51"/>
      <c r="U474" s="51"/>
      <c r="V474" s="51"/>
      <c r="W474" s="51"/>
      <c r="X474" s="51"/>
      <c r="Y474" s="51"/>
      <c r="Z474" s="51"/>
      <c r="AA474" s="51"/>
      <c r="AB474" s="51"/>
      <c r="AC474" s="51"/>
      <c r="AD474" s="51"/>
    </row>
    <row r="475" spans="1:30" x14ac:dyDescent="0.25">
      <c r="A475" s="51"/>
      <c r="B475" s="51"/>
      <c r="C475" s="51"/>
      <c r="D475" s="210"/>
      <c r="E475" s="210"/>
      <c r="F475" s="51"/>
      <c r="G475" s="51"/>
      <c r="H475" s="51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</row>
    <row r="476" spans="1:30" x14ac:dyDescent="0.25">
      <c r="A476" s="51"/>
      <c r="B476" s="51"/>
      <c r="C476" s="51"/>
      <c r="D476" s="210"/>
      <c r="E476" s="210"/>
      <c r="F476" s="51"/>
      <c r="G476" s="51"/>
      <c r="H476" s="51"/>
      <c r="I476" s="51"/>
      <c r="J476" s="51"/>
      <c r="K476" s="51"/>
      <c r="L476" s="51"/>
      <c r="M476" s="51"/>
      <c r="N476" s="51"/>
      <c r="O476" s="51"/>
      <c r="P476" s="51"/>
      <c r="Q476" s="51"/>
      <c r="R476" s="51"/>
      <c r="S476" s="51"/>
      <c r="T476" s="51"/>
      <c r="U476" s="51"/>
      <c r="V476" s="51"/>
      <c r="W476" s="51"/>
      <c r="X476" s="51"/>
      <c r="Y476" s="51"/>
      <c r="Z476" s="51"/>
      <c r="AA476" s="51"/>
      <c r="AB476" s="51"/>
      <c r="AC476" s="51"/>
      <c r="AD476" s="51"/>
    </row>
    <row r="477" spans="1:30" x14ac:dyDescent="0.25">
      <c r="A477" s="51"/>
      <c r="B477" s="51"/>
      <c r="C477" s="51"/>
      <c r="D477" s="210"/>
      <c r="E477" s="210"/>
      <c r="F477" s="51"/>
      <c r="G477" s="51"/>
      <c r="H477" s="51"/>
      <c r="I477" s="51"/>
      <c r="J477" s="51"/>
      <c r="K477" s="51"/>
      <c r="L477" s="51"/>
      <c r="M477" s="51"/>
      <c r="N477" s="51"/>
      <c r="O477" s="51"/>
      <c r="P477" s="51"/>
      <c r="Q477" s="51"/>
      <c r="R477" s="51"/>
      <c r="S477" s="51"/>
      <c r="T477" s="51"/>
      <c r="U477" s="51"/>
      <c r="V477" s="51"/>
      <c r="W477" s="51"/>
      <c r="X477" s="51"/>
      <c r="Y477" s="51"/>
      <c r="Z477" s="51"/>
      <c r="AA477" s="51"/>
      <c r="AB477" s="51"/>
      <c r="AC477" s="51"/>
      <c r="AD477" s="51"/>
    </row>
    <row r="478" spans="1:30" x14ac:dyDescent="0.25">
      <c r="A478" s="51"/>
      <c r="B478" s="51"/>
      <c r="C478" s="51"/>
      <c r="D478" s="210"/>
      <c r="E478" s="210"/>
      <c r="F478" s="51"/>
      <c r="G478" s="51"/>
      <c r="H478" s="51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</row>
    <row r="479" spans="1:30" x14ac:dyDescent="0.25">
      <c r="A479" s="51"/>
      <c r="B479" s="51"/>
      <c r="C479" s="51"/>
      <c r="D479" s="210"/>
      <c r="E479" s="210"/>
      <c r="F479" s="51"/>
      <c r="G479" s="51"/>
      <c r="H479" s="51"/>
      <c r="I479" s="51"/>
      <c r="J479" s="51"/>
      <c r="K479" s="51"/>
      <c r="L479" s="51"/>
      <c r="M479" s="51"/>
      <c r="N479" s="51"/>
      <c r="O479" s="51"/>
      <c r="P479" s="51"/>
      <c r="Q479" s="51"/>
      <c r="R479" s="51"/>
      <c r="S479" s="51"/>
      <c r="T479" s="51"/>
      <c r="U479" s="51"/>
      <c r="V479" s="51"/>
      <c r="W479" s="51"/>
      <c r="X479" s="51"/>
      <c r="Y479" s="51"/>
      <c r="Z479" s="51"/>
      <c r="AA479" s="51"/>
      <c r="AB479" s="51"/>
      <c r="AC479" s="51"/>
      <c r="AD479" s="51"/>
    </row>
    <row r="480" spans="1:30" x14ac:dyDescent="0.25">
      <c r="A480" s="51"/>
      <c r="B480" s="51"/>
      <c r="C480" s="51"/>
      <c r="D480" s="210"/>
      <c r="E480" s="210"/>
      <c r="F480" s="51"/>
      <c r="G480" s="51"/>
      <c r="H480" s="51"/>
      <c r="I480" s="51"/>
      <c r="J480" s="51"/>
      <c r="K480" s="51"/>
      <c r="L480" s="51"/>
      <c r="M480" s="51"/>
      <c r="N480" s="51"/>
      <c r="O480" s="51"/>
      <c r="P480" s="51"/>
      <c r="Q480" s="51"/>
      <c r="R480" s="51"/>
      <c r="S480" s="51"/>
      <c r="T480" s="51"/>
      <c r="U480" s="51"/>
      <c r="V480" s="51"/>
      <c r="W480" s="51"/>
      <c r="X480" s="51"/>
      <c r="Y480" s="51"/>
      <c r="Z480" s="51"/>
      <c r="AA480" s="51"/>
      <c r="AB480" s="51"/>
      <c r="AC480" s="51"/>
      <c r="AD480" s="51"/>
    </row>
    <row r="481" spans="1:30" x14ac:dyDescent="0.25">
      <c r="A481" s="51"/>
      <c r="B481" s="51"/>
      <c r="C481" s="51"/>
      <c r="D481" s="210"/>
      <c r="E481" s="210"/>
      <c r="F481" s="51"/>
      <c r="G481" s="51"/>
      <c r="H481" s="51"/>
      <c r="I481" s="51"/>
      <c r="J481" s="51"/>
      <c r="K481" s="51"/>
      <c r="L481" s="51"/>
      <c r="M481" s="51"/>
      <c r="N481" s="51"/>
      <c r="O481" s="51"/>
      <c r="P481" s="51"/>
      <c r="Q481" s="51"/>
      <c r="R481" s="51"/>
      <c r="S481" s="51"/>
      <c r="T481" s="51"/>
      <c r="U481" s="51"/>
      <c r="V481" s="51"/>
      <c r="W481" s="51"/>
      <c r="X481" s="51"/>
      <c r="Y481" s="51"/>
      <c r="Z481" s="51"/>
      <c r="AA481" s="51"/>
      <c r="AB481" s="51"/>
      <c r="AC481" s="51"/>
      <c r="AD481" s="51"/>
    </row>
    <row r="482" spans="1:30" x14ac:dyDescent="0.25">
      <c r="A482" s="51"/>
      <c r="B482" s="51"/>
      <c r="C482" s="51"/>
      <c r="D482" s="210"/>
      <c r="E482" s="210"/>
      <c r="F482" s="51"/>
      <c r="G482" s="51"/>
      <c r="H482" s="51"/>
      <c r="I482" s="51"/>
      <c r="J482" s="51"/>
      <c r="K482" s="51"/>
      <c r="L482" s="51"/>
      <c r="M482" s="51"/>
      <c r="N482" s="51"/>
      <c r="O482" s="51"/>
      <c r="P482" s="51"/>
      <c r="Q482" s="51"/>
      <c r="R482" s="51"/>
      <c r="S482" s="51"/>
      <c r="T482" s="51"/>
      <c r="U482" s="51"/>
      <c r="V482" s="51"/>
      <c r="W482" s="51"/>
      <c r="X482" s="51"/>
      <c r="Y482" s="51"/>
      <c r="Z482" s="51"/>
      <c r="AA482" s="51"/>
      <c r="AB482" s="51"/>
      <c r="AC482" s="51"/>
      <c r="AD482" s="51"/>
    </row>
    <row r="483" spans="1:30" x14ac:dyDescent="0.25">
      <c r="A483" s="51"/>
      <c r="B483" s="51"/>
      <c r="C483" s="51"/>
      <c r="D483" s="210"/>
      <c r="E483" s="210"/>
      <c r="F483" s="51"/>
      <c r="G483" s="51"/>
      <c r="H483" s="51"/>
      <c r="I483" s="51"/>
      <c r="J483" s="51"/>
      <c r="K483" s="51"/>
      <c r="L483" s="51"/>
      <c r="M483" s="51"/>
      <c r="N483" s="51"/>
      <c r="O483" s="51"/>
      <c r="P483" s="51"/>
      <c r="Q483" s="51"/>
      <c r="R483" s="51"/>
      <c r="S483" s="51"/>
      <c r="T483" s="51"/>
      <c r="U483" s="51"/>
      <c r="V483" s="51"/>
      <c r="W483" s="51"/>
      <c r="X483" s="51"/>
      <c r="Y483" s="51"/>
      <c r="Z483" s="51"/>
      <c r="AA483" s="51"/>
      <c r="AB483" s="51"/>
      <c r="AC483" s="51"/>
      <c r="AD483" s="51"/>
    </row>
    <row r="484" spans="1:30" x14ac:dyDescent="0.25">
      <c r="A484" s="51"/>
      <c r="B484" s="51"/>
      <c r="C484" s="51"/>
      <c r="D484" s="210"/>
      <c r="E484" s="210"/>
      <c r="F484" s="51"/>
      <c r="G484" s="51"/>
      <c r="H484" s="51"/>
      <c r="I484" s="51"/>
      <c r="J484" s="51"/>
      <c r="K484" s="51"/>
      <c r="L484" s="51"/>
      <c r="M484" s="51"/>
      <c r="N484" s="51"/>
      <c r="O484" s="51"/>
      <c r="P484" s="51"/>
      <c r="Q484" s="51"/>
      <c r="R484" s="51"/>
      <c r="S484" s="51"/>
      <c r="T484" s="51"/>
      <c r="U484" s="51"/>
      <c r="V484" s="51"/>
      <c r="W484" s="51"/>
      <c r="X484" s="51"/>
      <c r="Y484" s="51"/>
      <c r="Z484" s="51"/>
      <c r="AA484" s="51"/>
      <c r="AB484" s="51"/>
      <c r="AC484" s="51"/>
      <c r="AD484" s="51"/>
    </row>
    <row r="485" spans="1:30" x14ac:dyDescent="0.25">
      <c r="A485" s="51"/>
      <c r="B485" s="51"/>
      <c r="C485" s="51"/>
      <c r="D485" s="210"/>
      <c r="E485" s="210"/>
      <c r="F485" s="51"/>
      <c r="G485" s="51"/>
      <c r="H485" s="51"/>
      <c r="I485" s="51"/>
      <c r="J485" s="51"/>
      <c r="K485" s="51"/>
      <c r="L485" s="51"/>
      <c r="M485" s="51"/>
      <c r="N485" s="51"/>
      <c r="O485" s="51"/>
      <c r="P485" s="51"/>
      <c r="Q485" s="51"/>
      <c r="R485" s="51"/>
      <c r="S485" s="51"/>
      <c r="T485" s="51"/>
      <c r="U485" s="51"/>
      <c r="V485" s="51"/>
      <c r="W485" s="51"/>
      <c r="X485" s="51"/>
      <c r="Y485" s="51"/>
      <c r="Z485" s="51"/>
      <c r="AA485" s="51"/>
      <c r="AB485" s="51"/>
      <c r="AC485" s="51"/>
      <c r="AD485" s="51"/>
    </row>
    <row r="486" spans="1:30" x14ac:dyDescent="0.25">
      <c r="A486" s="51"/>
      <c r="B486" s="51"/>
      <c r="C486" s="51"/>
      <c r="D486" s="210"/>
      <c r="E486" s="210"/>
      <c r="F486" s="51"/>
      <c r="G486" s="51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  <c r="S486" s="51"/>
      <c r="T486" s="51"/>
      <c r="U486" s="51"/>
      <c r="V486" s="51"/>
      <c r="W486" s="51"/>
      <c r="X486" s="51"/>
      <c r="Y486" s="51"/>
      <c r="Z486" s="51"/>
      <c r="AA486" s="51"/>
      <c r="AB486" s="51"/>
      <c r="AC486" s="51"/>
      <c r="AD486" s="51"/>
    </row>
    <row r="487" spans="1:30" x14ac:dyDescent="0.25">
      <c r="A487" s="51"/>
      <c r="B487" s="51"/>
      <c r="C487" s="51"/>
      <c r="D487" s="210"/>
      <c r="E487" s="210"/>
      <c r="F487" s="51"/>
      <c r="G487" s="51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  <c r="S487" s="51"/>
      <c r="T487" s="51"/>
      <c r="U487" s="51"/>
      <c r="V487" s="51"/>
      <c r="W487" s="51"/>
      <c r="X487" s="51"/>
      <c r="Y487" s="51"/>
      <c r="Z487" s="51"/>
      <c r="AA487" s="51"/>
      <c r="AB487" s="51"/>
      <c r="AC487" s="51"/>
      <c r="AD487" s="51"/>
    </row>
    <row r="488" spans="1:30" x14ac:dyDescent="0.25">
      <c r="A488" s="51"/>
      <c r="B488" s="51"/>
      <c r="C488" s="51"/>
      <c r="D488" s="210"/>
      <c r="E488" s="210"/>
      <c r="F488" s="51"/>
      <c r="G488" s="51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  <c r="S488" s="51"/>
      <c r="T488" s="51"/>
      <c r="U488" s="51"/>
      <c r="V488" s="51"/>
      <c r="W488" s="51"/>
      <c r="X488" s="51"/>
      <c r="Y488" s="51"/>
      <c r="Z488" s="51"/>
      <c r="AA488" s="51"/>
      <c r="AB488" s="51"/>
      <c r="AC488" s="51"/>
      <c r="AD488" s="51"/>
    </row>
    <row r="489" spans="1:30" x14ac:dyDescent="0.25">
      <c r="A489" s="51"/>
      <c r="B489" s="51"/>
      <c r="C489" s="51"/>
      <c r="D489" s="210"/>
      <c r="E489" s="210"/>
      <c r="F489" s="51"/>
      <c r="G489" s="51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  <c r="S489" s="51"/>
      <c r="T489" s="51"/>
      <c r="U489" s="51"/>
      <c r="V489" s="51"/>
      <c r="W489" s="51"/>
      <c r="X489" s="51"/>
      <c r="Y489" s="51"/>
      <c r="Z489" s="51"/>
      <c r="AA489" s="51"/>
      <c r="AB489" s="51"/>
      <c r="AC489" s="51"/>
      <c r="AD489" s="51"/>
    </row>
    <row r="490" spans="1:30" x14ac:dyDescent="0.25">
      <c r="A490" s="51"/>
      <c r="B490" s="51"/>
      <c r="C490" s="51"/>
      <c r="D490" s="210"/>
      <c r="E490" s="210"/>
      <c r="F490" s="51"/>
      <c r="G490" s="51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  <c r="S490" s="51"/>
      <c r="T490" s="51"/>
      <c r="U490" s="51"/>
      <c r="V490" s="51"/>
      <c r="W490" s="51"/>
      <c r="X490" s="51"/>
      <c r="Y490" s="51"/>
      <c r="Z490" s="51"/>
      <c r="AA490" s="51"/>
      <c r="AB490" s="51"/>
      <c r="AC490" s="51"/>
      <c r="AD490" s="51"/>
    </row>
    <row r="491" spans="1:30" x14ac:dyDescent="0.25">
      <c r="A491" s="51"/>
      <c r="B491" s="51"/>
      <c r="C491" s="51"/>
      <c r="D491" s="210"/>
      <c r="E491" s="210"/>
      <c r="F491" s="51"/>
      <c r="G491" s="51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  <c r="S491" s="51"/>
      <c r="T491" s="51"/>
      <c r="U491" s="51"/>
      <c r="V491" s="51"/>
      <c r="W491" s="51"/>
      <c r="X491" s="51"/>
      <c r="Y491" s="51"/>
      <c r="Z491" s="51"/>
      <c r="AA491" s="51"/>
      <c r="AB491" s="51"/>
      <c r="AC491" s="51"/>
      <c r="AD491" s="51"/>
    </row>
    <row r="492" spans="1:30" x14ac:dyDescent="0.25">
      <c r="A492" s="51"/>
      <c r="B492" s="51"/>
      <c r="C492" s="51"/>
      <c r="D492" s="210"/>
      <c r="E492" s="210"/>
      <c r="F492" s="51"/>
      <c r="G492" s="51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  <c r="S492" s="51"/>
      <c r="T492" s="51"/>
      <c r="U492" s="51"/>
      <c r="V492" s="51"/>
      <c r="W492" s="51"/>
      <c r="X492" s="51"/>
      <c r="Y492" s="51"/>
      <c r="Z492" s="51"/>
      <c r="AA492" s="51"/>
      <c r="AB492" s="51"/>
      <c r="AC492" s="51"/>
      <c r="AD492" s="51"/>
    </row>
    <row r="493" spans="1:30" x14ac:dyDescent="0.25">
      <c r="A493" s="51"/>
      <c r="B493" s="51"/>
      <c r="C493" s="51"/>
      <c r="D493" s="210"/>
      <c r="E493" s="210"/>
      <c r="F493" s="51"/>
      <c r="G493" s="51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  <c r="S493" s="51"/>
      <c r="T493" s="51"/>
      <c r="U493" s="51"/>
      <c r="V493" s="51"/>
      <c r="W493" s="51"/>
      <c r="X493" s="51"/>
      <c r="Y493" s="51"/>
      <c r="Z493" s="51"/>
      <c r="AA493" s="51"/>
      <c r="AB493" s="51"/>
      <c r="AC493" s="51"/>
      <c r="AD493" s="51"/>
    </row>
    <row r="494" spans="1:30" x14ac:dyDescent="0.25">
      <c r="A494" s="51"/>
      <c r="B494" s="51"/>
      <c r="C494" s="51"/>
      <c r="D494" s="210"/>
      <c r="E494" s="210"/>
      <c r="F494" s="51"/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  <c r="S494" s="51"/>
      <c r="T494" s="51"/>
      <c r="U494" s="51"/>
      <c r="V494" s="51"/>
      <c r="W494" s="51"/>
      <c r="X494" s="51"/>
      <c r="Y494" s="51"/>
      <c r="Z494" s="51"/>
      <c r="AA494" s="51"/>
      <c r="AB494" s="51"/>
      <c r="AC494" s="51"/>
      <c r="AD494" s="51"/>
    </row>
    <row r="495" spans="1:30" x14ac:dyDescent="0.25">
      <c r="A495" s="51"/>
      <c r="B495" s="51"/>
      <c r="C495" s="51"/>
      <c r="D495" s="210"/>
      <c r="E495" s="210"/>
      <c r="F495" s="51"/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  <c r="S495" s="51"/>
      <c r="T495" s="51"/>
      <c r="U495" s="51"/>
      <c r="V495" s="51"/>
      <c r="W495" s="51"/>
      <c r="X495" s="51"/>
      <c r="Y495" s="51"/>
      <c r="Z495" s="51"/>
      <c r="AA495" s="51"/>
      <c r="AB495" s="51"/>
      <c r="AC495" s="51"/>
      <c r="AD495" s="51"/>
    </row>
    <row r="496" spans="1:30" x14ac:dyDescent="0.25">
      <c r="A496" s="51"/>
      <c r="B496" s="51"/>
      <c r="C496" s="51"/>
      <c r="D496" s="210"/>
      <c r="E496" s="210"/>
      <c r="F496" s="51"/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  <c r="S496" s="51"/>
      <c r="T496" s="51"/>
      <c r="U496" s="51"/>
      <c r="V496" s="51"/>
      <c r="W496" s="51"/>
      <c r="X496" s="51"/>
      <c r="Y496" s="51"/>
      <c r="Z496" s="51"/>
      <c r="AA496" s="51"/>
      <c r="AB496" s="51"/>
      <c r="AC496" s="51"/>
      <c r="AD496" s="51"/>
    </row>
    <row r="497" spans="1:30" x14ac:dyDescent="0.25">
      <c r="A497" s="51"/>
      <c r="B497" s="51"/>
      <c r="C497" s="51"/>
      <c r="D497" s="210"/>
      <c r="E497" s="210"/>
      <c r="F497" s="51"/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  <c r="S497" s="51"/>
      <c r="T497" s="51"/>
      <c r="U497" s="51"/>
      <c r="V497" s="51"/>
      <c r="W497" s="51"/>
      <c r="X497" s="51"/>
      <c r="Y497" s="51"/>
      <c r="Z497" s="51"/>
      <c r="AA497" s="51"/>
      <c r="AB497" s="51"/>
      <c r="AC497" s="51"/>
      <c r="AD497" s="51"/>
    </row>
    <row r="498" spans="1:30" x14ac:dyDescent="0.25">
      <c r="A498" s="51"/>
      <c r="B498" s="51"/>
      <c r="C498" s="51"/>
      <c r="D498" s="210"/>
      <c r="E498" s="210"/>
      <c r="F498" s="51"/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  <c r="S498" s="51"/>
      <c r="T498" s="51"/>
      <c r="U498" s="51"/>
      <c r="V498" s="51"/>
      <c r="W498" s="51"/>
      <c r="X498" s="51"/>
      <c r="Y498" s="51"/>
      <c r="Z498" s="51"/>
      <c r="AA498" s="51"/>
      <c r="AB498" s="51"/>
      <c r="AC498" s="51"/>
      <c r="AD498" s="51"/>
    </row>
    <row r="499" spans="1:30" x14ac:dyDescent="0.25">
      <c r="A499" s="51"/>
      <c r="B499" s="51"/>
      <c r="C499" s="51"/>
      <c r="D499" s="210"/>
      <c r="E499" s="210"/>
      <c r="F499" s="51"/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  <c r="S499" s="51"/>
      <c r="T499" s="51"/>
      <c r="U499" s="51"/>
      <c r="V499" s="51"/>
      <c r="W499" s="51"/>
      <c r="X499" s="51"/>
      <c r="Y499" s="51"/>
      <c r="Z499" s="51"/>
      <c r="AA499" s="51"/>
      <c r="AB499" s="51"/>
      <c r="AC499" s="51"/>
      <c r="AD499" s="51"/>
    </row>
    <row r="500" spans="1:30" x14ac:dyDescent="0.25">
      <c r="A500" s="51"/>
      <c r="B500" s="51"/>
      <c r="C500" s="51"/>
      <c r="D500" s="210"/>
      <c r="E500" s="210"/>
      <c r="F500" s="51"/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  <c r="S500" s="51"/>
      <c r="T500" s="51"/>
      <c r="U500" s="51"/>
      <c r="V500" s="51"/>
      <c r="W500" s="51"/>
      <c r="X500" s="51"/>
      <c r="Y500" s="51"/>
      <c r="Z500" s="51"/>
      <c r="AA500" s="51"/>
      <c r="AB500" s="51"/>
      <c r="AC500" s="51"/>
      <c r="AD500" s="51"/>
    </row>
    <row r="501" spans="1:30" x14ac:dyDescent="0.25">
      <c r="A501" s="51"/>
      <c r="B501" s="51"/>
      <c r="C501" s="51"/>
      <c r="D501" s="210"/>
      <c r="E501" s="210"/>
      <c r="F501" s="51"/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  <c r="S501" s="51"/>
      <c r="T501" s="51"/>
      <c r="U501" s="51"/>
      <c r="V501" s="51"/>
      <c r="W501" s="51"/>
      <c r="X501" s="51"/>
      <c r="Y501" s="51"/>
      <c r="Z501" s="51"/>
      <c r="AA501" s="51"/>
      <c r="AB501" s="51"/>
      <c r="AC501" s="51"/>
      <c r="AD501" s="51"/>
    </row>
    <row r="502" spans="1:30" x14ac:dyDescent="0.25">
      <c r="A502" s="51"/>
      <c r="B502" s="51"/>
      <c r="C502" s="51"/>
      <c r="D502" s="210"/>
      <c r="E502" s="210"/>
      <c r="F502" s="51"/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  <c r="S502" s="51"/>
      <c r="T502" s="51"/>
      <c r="U502" s="51"/>
      <c r="V502" s="51"/>
      <c r="W502" s="51"/>
      <c r="X502" s="51"/>
      <c r="Y502" s="51"/>
      <c r="Z502" s="51"/>
      <c r="AA502" s="51"/>
      <c r="AB502" s="51"/>
      <c r="AC502" s="51"/>
      <c r="AD502" s="51"/>
    </row>
    <row r="503" spans="1:30" x14ac:dyDescent="0.25">
      <c r="A503" s="51"/>
      <c r="B503" s="51"/>
      <c r="C503" s="51"/>
      <c r="D503" s="210"/>
      <c r="E503" s="210"/>
      <c r="F503" s="51"/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  <c r="S503" s="51"/>
      <c r="T503" s="51"/>
      <c r="U503" s="51"/>
      <c r="V503" s="51"/>
      <c r="W503" s="51"/>
      <c r="X503" s="51"/>
      <c r="Y503" s="51"/>
      <c r="Z503" s="51"/>
      <c r="AA503" s="51"/>
      <c r="AB503" s="51"/>
      <c r="AC503" s="51"/>
      <c r="AD503" s="51"/>
    </row>
    <row r="504" spans="1:30" x14ac:dyDescent="0.25">
      <c r="A504" s="51"/>
      <c r="B504" s="51"/>
      <c r="C504" s="51"/>
      <c r="D504" s="210"/>
      <c r="E504" s="210"/>
      <c r="F504" s="51"/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  <c r="S504" s="51"/>
      <c r="T504" s="51"/>
      <c r="U504" s="51"/>
      <c r="V504" s="51"/>
      <c r="W504" s="51"/>
      <c r="X504" s="51"/>
      <c r="Y504" s="51"/>
      <c r="Z504" s="51"/>
      <c r="AA504" s="51"/>
      <c r="AB504" s="51"/>
      <c r="AC504" s="51"/>
      <c r="AD504" s="51"/>
    </row>
    <row r="505" spans="1:30" x14ac:dyDescent="0.25">
      <c r="A505" s="51"/>
      <c r="B505" s="51"/>
      <c r="C505" s="51"/>
      <c r="D505" s="210"/>
      <c r="E505" s="210"/>
      <c r="F505" s="51"/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</row>
    <row r="506" spans="1:30" x14ac:dyDescent="0.25">
      <c r="A506" s="51"/>
      <c r="B506" s="51"/>
      <c r="C506" s="51"/>
      <c r="D506" s="210"/>
      <c r="E506" s="210"/>
      <c r="F506" s="51"/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  <c r="S506" s="51"/>
      <c r="T506" s="51"/>
      <c r="U506" s="51"/>
      <c r="V506" s="51"/>
      <c r="W506" s="51"/>
      <c r="X506" s="51"/>
      <c r="Y506" s="51"/>
      <c r="Z506" s="51"/>
      <c r="AA506" s="51"/>
      <c r="AB506" s="51"/>
      <c r="AC506" s="51"/>
      <c r="AD506" s="51"/>
    </row>
    <row r="507" spans="1:30" x14ac:dyDescent="0.25">
      <c r="A507" s="51"/>
      <c r="B507" s="51"/>
      <c r="C507" s="51"/>
      <c r="D507" s="210"/>
      <c r="E507" s="210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  <c r="S507" s="51"/>
      <c r="T507" s="51"/>
      <c r="U507" s="51"/>
      <c r="V507" s="51"/>
      <c r="W507" s="51"/>
      <c r="X507" s="51"/>
      <c r="Y507" s="51"/>
      <c r="Z507" s="51"/>
      <c r="AA507" s="51"/>
      <c r="AB507" s="51"/>
      <c r="AC507" s="51"/>
      <c r="AD507" s="51"/>
    </row>
    <row r="508" spans="1:30" x14ac:dyDescent="0.25">
      <c r="A508" s="51"/>
      <c r="B508" s="51"/>
      <c r="C508" s="51"/>
      <c r="D508" s="210"/>
      <c r="E508" s="210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  <c r="S508" s="51"/>
      <c r="T508" s="51"/>
      <c r="U508" s="51"/>
      <c r="V508" s="51"/>
      <c r="W508" s="51"/>
      <c r="X508" s="51"/>
      <c r="Y508" s="51"/>
      <c r="Z508" s="51"/>
      <c r="AA508" s="51"/>
      <c r="AB508" s="51"/>
      <c r="AC508" s="51"/>
      <c r="AD508" s="51"/>
    </row>
    <row r="509" spans="1:30" x14ac:dyDescent="0.25">
      <c r="A509" s="51"/>
      <c r="B509" s="51"/>
      <c r="C509" s="51"/>
      <c r="D509" s="210"/>
      <c r="E509" s="210"/>
      <c r="F509" s="51"/>
      <c r="G509" s="51"/>
      <c r="H509" s="51"/>
      <c r="I509" s="51"/>
      <c r="J509" s="51"/>
      <c r="K509" s="51"/>
      <c r="L509" s="51"/>
      <c r="M509" s="51"/>
      <c r="N509" s="51"/>
      <c r="O509" s="51"/>
      <c r="P509" s="51"/>
      <c r="Q509" s="51"/>
      <c r="R509" s="51"/>
      <c r="S509" s="51"/>
      <c r="T509" s="51"/>
      <c r="U509" s="51"/>
      <c r="V509" s="51"/>
      <c r="W509" s="51"/>
      <c r="X509" s="51"/>
      <c r="Y509" s="51"/>
      <c r="Z509" s="51"/>
      <c r="AA509" s="51"/>
      <c r="AB509" s="51"/>
      <c r="AC509" s="51"/>
      <c r="AD509" s="51"/>
    </row>
    <row r="510" spans="1:30" x14ac:dyDescent="0.25">
      <c r="A510" s="51"/>
      <c r="B510" s="51"/>
      <c r="C510" s="51"/>
      <c r="D510" s="210"/>
      <c r="E510" s="51"/>
      <c r="F510" s="51"/>
      <c r="G510" s="51"/>
      <c r="H510" s="51"/>
      <c r="I510" s="51"/>
      <c r="J510" s="51"/>
      <c r="K510" s="51"/>
      <c r="L510" s="51"/>
      <c r="M510" s="51"/>
      <c r="N510" s="51"/>
      <c r="O510" s="51"/>
      <c r="P510" s="51"/>
      <c r="Q510" s="51"/>
      <c r="R510" s="51"/>
      <c r="S510" s="51"/>
      <c r="T510" s="51"/>
      <c r="U510" s="51"/>
      <c r="V510" s="51"/>
      <c r="W510" s="51"/>
      <c r="X510" s="51"/>
      <c r="Y510" s="51"/>
      <c r="Z510" s="51"/>
      <c r="AA510" s="51"/>
      <c r="AB510" s="51"/>
      <c r="AC510" s="51"/>
      <c r="AD510" s="51"/>
    </row>
    <row r="511" spans="1:30" x14ac:dyDescent="0.25">
      <c r="A511" s="51"/>
      <c r="B511" s="51"/>
      <c r="C511" s="51"/>
      <c r="D511" s="210"/>
      <c r="E511" s="51"/>
      <c r="F511" s="51"/>
      <c r="G511" s="51"/>
      <c r="H511" s="51"/>
      <c r="I511" s="51"/>
      <c r="J511" s="51"/>
      <c r="K511" s="51"/>
      <c r="L511" s="51"/>
      <c r="M511" s="51"/>
      <c r="N511" s="51"/>
      <c r="O511" s="51"/>
      <c r="P511" s="51"/>
      <c r="Q511" s="51"/>
      <c r="R511" s="51"/>
      <c r="S511" s="51"/>
      <c r="T511" s="51"/>
      <c r="U511" s="51"/>
      <c r="V511" s="51"/>
      <c r="W511" s="51"/>
      <c r="X511" s="51"/>
      <c r="Y511" s="51"/>
      <c r="Z511" s="51"/>
      <c r="AA511" s="51"/>
      <c r="AB511" s="51"/>
      <c r="AC511" s="51"/>
      <c r="AD511" s="51"/>
    </row>
    <row r="512" spans="1:30" x14ac:dyDescent="0.25">
      <c r="A512" s="51"/>
      <c r="B512" s="51"/>
      <c r="C512" s="51"/>
      <c r="D512" s="210"/>
      <c r="E512" s="51"/>
      <c r="F512" s="51"/>
      <c r="G512" s="51"/>
      <c r="H512" s="51"/>
      <c r="I512" s="51"/>
      <c r="J512" s="51"/>
      <c r="K512" s="51"/>
      <c r="L512" s="51"/>
      <c r="M512" s="51"/>
      <c r="N512" s="51"/>
      <c r="O512" s="51"/>
      <c r="P512" s="51"/>
      <c r="Q512" s="51"/>
      <c r="R512" s="51"/>
      <c r="S512" s="51"/>
      <c r="T512" s="51"/>
      <c r="U512" s="51"/>
      <c r="V512" s="51"/>
      <c r="W512" s="51"/>
    </row>
    <row r="513" spans="1:23" x14ac:dyDescent="0.25">
      <c r="A513" s="51"/>
      <c r="B513" s="51"/>
      <c r="C513" s="51"/>
      <c r="D513" s="210"/>
      <c r="E513" s="51"/>
      <c r="F513" s="51"/>
      <c r="G513" s="51"/>
      <c r="H513" s="51"/>
      <c r="I513" s="51"/>
      <c r="J513" s="51"/>
      <c r="K513" s="51"/>
      <c r="L513" s="51"/>
      <c r="M513" s="51"/>
      <c r="N513" s="51"/>
      <c r="O513" s="51"/>
      <c r="P513" s="51"/>
      <c r="Q513" s="51"/>
      <c r="R513" s="51"/>
      <c r="S513" s="51"/>
      <c r="T513" s="51"/>
      <c r="U513" s="51"/>
      <c r="V513" s="51"/>
      <c r="W513" s="51"/>
    </row>
    <row r="514" spans="1:23" x14ac:dyDescent="0.25">
      <c r="A514" s="51"/>
      <c r="B514" s="51"/>
      <c r="C514" s="51"/>
      <c r="D514" s="210"/>
      <c r="E514" s="51"/>
      <c r="F514" s="51"/>
      <c r="G514" s="51"/>
      <c r="H514" s="51"/>
      <c r="I514" s="51"/>
      <c r="J514" s="51"/>
      <c r="K514" s="51"/>
      <c r="L514" s="51"/>
      <c r="M514" s="51"/>
      <c r="N514" s="51"/>
      <c r="O514" s="51"/>
      <c r="P514" s="51"/>
      <c r="Q514" s="51"/>
      <c r="R514" s="51"/>
      <c r="S514" s="51"/>
      <c r="T514" s="51"/>
      <c r="U514" s="51"/>
      <c r="V514" s="51"/>
      <c r="W514" s="51"/>
    </row>
    <row r="515" spans="1:23" x14ac:dyDescent="0.25">
      <c r="A515" s="51"/>
      <c r="B515" s="51"/>
      <c r="C515" s="51"/>
      <c r="D515" s="210"/>
      <c r="E515" s="51"/>
      <c r="F515" s="51"/>
      <c r="G515" s="51"/>
      <c r="H515" s="51"/>
      <c r="I515" s="51"/>
      <c r="J515" s="51"/>
      <c r="K515" s="51"/>
      <c r="L515" s="51"/>
      <c r="M515" s="51"/>
      <c r="N515" s="51"/>
      <c r="O515" s="51"/>
      <c r="P515" s="51"/>
      <c r="Q515" s="51"/>
      <c r="R515" s="51"/>
      <c r="S515" s="51"/>
      <c r="T515" s="51"/>
      <c r="U515" s="51"/>
      <c r="V515" s="51"/>
      <c r="W515" s="51"/>
    </row>
    <row r="516" spans="1:23" x14ac:dyDescent="0.25">
      <c r="A516" s="51"/>
      <c r="B516" s="51"/>
      <c r="C516" s="51"/>
      <c r="D516" s="210"/>
      <c r="E516" s="51"/>
      <c r="F516" s="51"/>
      <c r="G516" s="51"/>
      <c r="H516" s="51"/>
      <c r="I516" s="51"/>
      <c r="J516" s="51"/>
      <c r="K516" s="51"/>
      <c r="L516" s="51"/>
      <c r="M516" s="51"/>
      <c r="N516" s="51"/>
      <c r="O516" s="51"/>
      <c r="P516" s="51"/>
      <c r="Q516" s="51"/>
      <c r="R516" s="51"/>
      <c r="S516" s="51"/>
      <c r="T516" s="51"/>
      <c r="U516" s="51"/>
      <c r="V516" s="51"/>
      <c r="W516" s="51"/>
    </row>
    <row r="517" spans="1:23" x14ac:dyDescent="0.25">
      <c r="A517" s="51"/>
      <c r="B517" s="51"/>
      <c r="C517" s="51"/>
      <c r="D517" s="210"/>
      <c r="E517" s="51"/>
      <c r="F517" s="51"/>
      <c r="G517" s="51"/>
      <c r="H517" s="51"/>
      <c r="I517" s="51"/>
      <c r="J517" s="51"/>
      <c r="K517" s="51"/>
      <c r="L517" s="51"/>
      <c r="M517" s="51"/>
      <c r="N517" s="51"/>
      <c r="O517" s="51"/>
      <c r="P517" s="51"/>
      <c r="Q517" s="51"/>
      <c r="R517" s="51"/>
      <c r="S517" s="51"/>
      <c r="T517" s="51"/>
      <c r="U517" s="51"/>
      <c r="V517" s="51"/>
      <c r="W517" s="51"/>
    </row>
    <row r="518" spans="1:23" x14ac:dyDescent="0.25">
      <c r="A518" s="51"/>
      <c r="B518" s="51"/>
      <c r="C518" s="51"/>
      <c r="D518" s="51"/>
      <c r="E518" s="51"/>
      <c r="F518" s="51"/>
      <c r="G518" s="51"/>
      <c r="H518" s="51"/>
      <c r="I518" s="51"/>
      <c r="J518" s="51"/>
      <c r="K518" s="51"/>
      <c r="L518" s="51"/>
      <c r="M518" s="51"/>
      <c r="N518" s="51"/>
      <c r="O518" s="51"/>
      <c r="P518" s="51"/>
      <c r="Q518" s="51"/>
      <c r="R518" s="51"/>
      <c r="S518" s="51"/>
      <c r="T518" s="51"/>
      <c r="U518" s="51"/>
      <c r="V518" s="51"/>
      <c r="W518" s="51"/>
    </row>
  </sheetData>
  <mergeCells count="12">
    <mergeCell ref="B8:I8"/>
    <mergeCell ref="J8:Q8"/>
    <mergeCell ref="B5:I5"/>
    <mergeCell ref="J5:P5"/>
    <mergeCell ref="B6:I6"/>
    <mergeCell ref="J6:Q6"/>
    <mergeCell ref="B1:I1"/>
    <mergeCell ref="J1:Q1"/>
    <mergeCell ref="B2:I2"/>
    <mergeCell ref="J2:P2"/>
    <mergeCell ref="B3:I3"/>
    <mergeCell ref="J3:Q3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Добавить_КИП" altText="Добавить КИП">
                <anchor moveWithCells="1" sizeWithCells="1">
                  <from>
                    <xdr:col>1</xdr:col>
                    <xdr:colOff>390525</xdr:colOff>
                    <xdr:row>2</xdr:row>
                    <xdr:rowOff>19050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Калькулятор">
                <anchor moveWithCells="1" sizeWithCells="1">
                  <from>
                    <xdr:col>9</xdr:col>
                    <xdr:colOff>257175</xdr:colOff>
                    <xdr:row>2</xdr:row>
                    <xdr:rowOff>19050</xdr:rowOff>
                  </from>
                  <to>
                    <xdr:col>16</xdr:col>
                    <xdr:colOff>133350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Добавить_КИП42">
                <anchor moveWithCells="1" sizeWithCells="1">
                  <from>
                    <xdr:col>1</xdr:col>
                    <xdr:colOff>390525</xdr:colOff>
                    <xdr:row>5</xdr:row>
                    <xdr:rowOff>19050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Калькулятор">
                <anchor moveWithCells="1" sizeWithCells="1">
                  <from>
                    <xdr:col>9</xdr:col>
                    <xdr:colOff>257175</xdr:colOff>
                    <xdr:row>5</xdr:row>
                    <xdr:rowOff>19050</xdr:rowOff>
                  </from>
                  <to>
                    <xdr:col>16</xdr:col>
                    <xdr:colOff>133350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" name="Button 13">
              <controlPr defaultSize="0" print="0" autoFill="0" autoPict="0" macro="[0]!Добавить_оборудование">
                <anchor moveWithCells="1" sizeWithCells="1">
                  <from>
                    <xdr:col>2</xdr:col>
                    <xdr:colOff>19050</xdr:colOff>
                    <xdr:row>7</xdr:row>
                    <xdr:rowOff>19050</xdr:rowOff>
                  </from>
                  <to>
                    <xdr:col>7</xdr:col>
                    <xdr:colOff>361950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D3"/>
  <sheetViews>
    <sheetView workbookViewId="0">
      <selection activeCell="D3" sqref="D3"/>
    </sheetView>
  </sheetViews>
  <sheetFormatPr defaultRowHeight="15" x14ac:dyDescent="0.25"/>
  <cols>
    <col min="1" max="1" width="18" customWidth="1"/>
    <col min="2" max="2" width="18" style="226" customWidth="1"/>
    <col min="3" max="3" width="73.85546875" customWidth="1"/>
  </cols>
  <sheetData>
    <row r="1" spans="1:4" x14ac:dyDescent="0.25">
      <c r="A1" t="s">
        <v>695</v>
      </c>
    </row>
    <row r="2" spans="1:4" ht="230.25" customHeight="1" x14ac:dyDescent="0.25">
      <c r="B2" s="227" t="s">
        <v>696</v>
      </c>
      <c r="C2" s="169" t="s">
        <v>699</v>
      </c>
      <c r="D2">
        <v>230</v>
      </c>
    </row>
    <row r="3" spans="1:4" ht="230.25" customHeight="1" x14ac:dyDescent="0.25">
      <c r="B3" s="227" t="s">
        <v>697</v>
      </c>
      <c r="C3" s="230" t="s">
        <v>698</v>
      </c>
      <c r="D3">
        <v>230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G230"/>
  <sheetViews>
    <sheetView topLeftCell="A97" zoomScaleNormal="100" workbookViewId="0">
      <selection activeCell="C103" sqref="C103"/>
    </sheetView>
  </sheetViews>
  <sheetFormatPr defaultRowHeight="15" x14ac:dyDescent="0.25"/>
  <cols>
    <col min="1" max="1" width="82.7109375" customWidth="1"/>
    <col min="3" max="3" width="81.42578125" customWidth="1"/>
    <col min="4" max="4" width="46.140625" style="8" customWidth="1"/>
  </cols>
  <sheetData>
    <row r="1" spans="1:5" ht="22.5" x14ac:dyDescent="0.25">
      <c r="B1" s="7"/>
      <c r="C1" s="8"/>
    </row>
    <row r="2" spans="1:5" ht="22.5" x14ac:dyDescent="0.25">
      <c r="A2" s="291" t="s">
        <v>791</v>
      </c>
      <c r="B2" s="3"/>
      <c r="C2" s="2"/>
      <c r="D2" s="12"/>
    </row>
    <row r="3" spans="1:5" ht="22.5" x14ac:dyDescent="0.25">
      <c r="A3" s="291" t="s">
        <v>792</v>
      </c>
      <c r="B3" s="5"/>
      <c r="C3" s="4"/>
      <c r="D3" s="13"/>
    </row>
    <row r="4" spans="1:5" ht="22.5" x14ac:dyDescent="0.25">
      <c r="A4" s="291" t="s">
        <v>790</v>
      </c>
      <c r="B4" s="3"/>
      <c r="C4" s="2"/>
      <c r="D4" s="12"/>
    </row>
    <row r="5" spans="1:5" ht="22.5" x14ac:dyDescent="0.25">
      <c r="A5" s="4"/>
      <c r="B5" s="5"/>
      <c r="C5" s="4"/>
      <c r="D5" s="13"/>
    </row>
    <row r="6" spans="1:5" ht="23.25" thickBot="1" x14ac:dyDescent="0.3">
      <c r="A6" s="2"/>
      <c r="B6" s="3"/>
      <c r="C6" s="2"/>
      <c r="D6" s="12"/>
    </row>
    <row r="7" spans="1:5" ht="22.5" x14ac:dyDescent="0.25">
      <c r="A7" s="16" t="s">
        <v>795</v>
      </c>
      <c r="B7" s="5"/>
      <c r="C7" s="4"/>
      <c r="D7" s="13"/>
    </row>
    <row r="8" spans="1:5" ht="22.5" x14ac:dyDescent="0.25">
      <c r="A8" s="19" t="s">
        <v>796</v>
      </c>
      <c r="B8" s="3"/>
      <c r="C8" s="1"/>
      <c r="D8" s="1"/>
    </row>
    <row r="9" spans="1:5" ht="22.5" x14ac:dyDescent="0.25">
      <c r="A9" s="19" t="s">
        <v>797</v>
      </c>
      <c r="B9" s="5"/>
      <c r="C9" s="4"/>
      <c r="D9" s="13"/>
    </row>
    <row r="10" spans="1:5" ht="23.25" thickBot="1" x14ac:dyDescent="0.3">
      <c r="A10" s="2"/>
      <c r="B10" s="3"/>
      <c r="C10" s="2"/>
      <c r="D10" s="12"/>
    </row>
    <row r="11" spans="1:5" ht="22.5" x14ac:dyDescent="0.25">
      <c r="A11" s="22" t="s">
        <v>79</v>
      </c>
      <c r="B11" s="5"/>
      <c r="C11" s="6"/>
      <c r="D11" s="14"/>
    </row>
    <row r="12" spans="1:5" ht="22.5" x14ac:dyDescent="0.25">
      <c r="A12" s="24" t="s">
        <v>798</v>
      </c>
      <c r="B12" s="3"/>
      <c r="C12" s="2"/>
      <c r="D12" s="12"/>
    </row>
    <row r="13" spans="1:5" ht="22.5" x14ac:dyDescent="0.25">
      <c r="A13" s="24" t="s">
        <v>799</v>
      </c>
      <c r="B13" s="5"/>
      <c r="C13" s="4"/>
      <c r="D13" s="13"/>
    </row>
    <row r="14" spans="1:5" ht="23.25" thickBot="1" x14ac:dyDescent="0.3">
      <c r="B14" s="7"/>
    </row>
    <row r="15" spans="1:5" x14ac:dyDescent="0.25">
      <c r="A15" s="22" t="s">
        <v>0</v>
      </c>
      <c r="B15" s="17">
        <v>100</v>
      </c>
      <c r="C15" s="23" t="s">
        <v>63</v>
      </c>
      <c r="E15" t="e">
        <f>IF(Лист1!#REF!=Лист3!A15,100,IF(Лист1!#REF!=Лист3!A16,200,IF(Лист1!#REF!=Лист3!A17,300,IF(Лист1!#REF!=Лист3!A18,400))))</f>
        <v>#REF!</v>
      </c>
    </row>
    <row r="16" spans="1:5" x14ac:dyDescent="0.25">
      <c r="A16" s="31" t="s">
        <v>1</v>
      </c>
      <c r="B16" s="11">
        <v>200</v>
      </c>
      <c r="C16" s="25" t="s">
        <v>64</v>
      </c>
    </row>
    <row r="17" spans="1:5" x14ac:dyDescent="0.25">
      <c r="A17" s="31" t="s">
        <v>2</v>
      </c>
      <c r="B17" s="11">
        <v>300</v>
      </c>
      <c r="C17" s="25" t="s">
        <v>65</v>
      </c>
    </row>
    <row r="18" spans="1:5" ht="15.75" thickBot="1" x14ac:dyDescent="0.3">
      <c r="A18" s="27" t="s">
        <v>3</v>
      </c>
      <c r="B18" s="21">
        <v>400</v>
      </c>
      <c r="C18" s="29" t="s">
        <v>66</v>
      </c>
    </row>
    <row r="19" spans="1:5" ht="15.75" thickBot="1" x14ac:dyDescent="0.3"/>
    <row r="20" spans="1:5" x14ac:dyDescent="0.25">
      <c r="A20" s="22" t="s">
        <v>4</v>
      </c>
      <c r="B20" s="17">
        <v>0</v>
      </c>
      <c r="C20" s="23" t="s">
        <v>4</v>
      </c>
      <c r="E20" t="e">
        <f>IF(Лист1!#REF!=Лист3!A20,0,IF(Лист1!#REF!=Лист3!A21,10,IF(Лист1!#REF!=Лист3!A22,20,IF(Лист1!#REF!=Лист3!A23,30,IF(Лист1!#REF!=Лист3!A24,40,IF(Лист1!#REF!=Лист3!A25,50,IF(Лист1!#REF!=Лист3!A26,60,IF(Лист1!#REF!=Лист3!A27,70,IF(Лист1!#REF!=Лист3!A28,80,IF(Лист1!#REF!=Лист3!A29,90))))))))))</f>
        <v>#REF!</v>
      </c>
    </row>
    <row r="21" spans="1:5" x14ac:dyDescent="0.25">
      <c r="A21" s="31" t="s">
        <v>5</v>
      </c>
      <c r="B21" s="11">
        <v>10</v>
      </c>
      <c r="C21" s="25" t="s">
        <v>5</v>
      </c>
    </row>
    <row r="22" spans="1:5" x14ac:dyDescent="0.25">
      <c r="A22" s="31" t="s">
        <v>8</v>
      </c>
      <c r="B22" s="11">
        <v>20</v>
      </c>
      <c r="C22" s="25" t="s">
        <v>8</v>
      </c>
    </row>
    <row r="23" spans="1:5" x14ac:dyDescent="0.25">
      <c r="A23" s="31" t="s">
        <v>6</v>
      </c>
      <c r="B23" s="11">
        <v>30</v>
      </c>
      <c r="C23" s="25" t="s">
        <v>6</v>
      </c>
    </row>
    <row r="24" spans="1:5" x14ac:dyDescent="0.25">
      <c r="A24" s="31" t="s">
        <v>7</v>
      </c>
      <c r="B24" s="11">
        <v>40</v>
      </c>
      <c r="C24" s="25" t="s">
        <v>7</v>
      </c>
    </row>
    <row r="25" spans="1:5" x14ac:dyDescent="0.25">
      <c r="A25" s="31" t="s">
        <v>9</v>
      </c>
      <c r="B25" s="11">
        <v>50</v>
      </c>
      <c r="C25" s="25" t="s">
        <v>9</v>
      </c>
    </row>
    <row r="26" spans="1:5" x14ac:dyDescent="0.25">
      <c r="A26" s="31" t="s">
        <v>10</v>
      </c>
      <c r="B26" s="11">
        <v>60</v>
      </c>
      <c r="C26" s="25" t="s">
        <v>10</v>
      </c>
    </row>
    <row r="27" spans="1:5" x14ac:dyDescent="0.25">
      <c r="A27" s="31" t="s">
        <v>11</v>
      </c>
      <c r="B27" s="11">
        <v>70</v>
      </c>
      <c r="C27" s="25" t="s">
        <v>11</v>
      </c>
    </row>
    <row r="28" spans="1:5" x14ac:dyDescent="0.25">
      <c r="A28" s="31" t="s">
        <v>12</v>
      </c>
      <c r="B28" s="11">
        <v>80</v>
      </c>
      <c r="C28" s="25" t="s">
        <v>12</v>
      </c>
    </row>
    <row r="29" spans="1:5" ht="15.75" thickBot="1" x14ac:dyDescent="0.3">
      <c r="A29" s="27" t="s">
        <v>13</v>
      </c>
      <c r="B29" s="21">
        <v>90</v>
      </c>
      <c r="C29" s="29" t="s">
        <v>13</v>
      </c>
    </row>
    <row r="30" spans="1:5" ht="15.75" thickBot="1" x14ac:dyDescent="0.3"/>
    <row r="31" spans="1:5" x14ac:dyDescent="0.25">
      <c r="A31" s="22" t="s">
        <v>14</v>
      </c>
      <c r="B31" s="17">
        <v>1</v>
      </c>
      <c r="C31" s="23" t="s">
        <v>14</v>
      </c>
      <c r="E31" t="e">
        <f>IF(Лист1!#REF!=Лист3!A31,1,IF(Лист1!#REF!=Лист3!A32,2,IF(Лист1!#REF!=Лист3!A33,3,IF(Лист1!#REF!=Лист3!A34,4,IF(Лист1!#REF!=Лист3!A35,5,IF(Лист1!#REF!=Лист3!A36,6))))))</f>
        <v>#REF!</v>
      </c>
    </row>
    <row r="32" spans="1:5" x14ac:dyDescent="0.25">
      <c r="A32" s="31" t="s">
        <v>15</v>
      </c>
      <c r="B32" s="11">
        <v>2</v>
      </c>
      <c r="C32" s="25" t="s">
        <v>15</v>
      </c>
    </row>
    <row r="33" spans="1:5" x14ac:dyDescent="0.25">
      <c r="A33" s="31" t="s">
        <v>16</v>
      </c>
      <c r="B33" s="11">
        <v>3</v>
      </c>
      <c r="C33" s="25" t="s">
        <v>16</v>
      </c>
    </row>
    <row r="34" spans="1:5" x14ac:dyDescent="0.25">
      <c r="A34" s="31" t="s">
        <v>17</v>
      </c>
      <c r="B34" s="11">
        <v>4</v>
      </c>
      <c r="C34" s="25" t="s">
        <v>17</v>
      </c>
    </row>
    <row r="35" spans="1:5" x14ac:dyDescent="0.25">
      <c r="A35" s="31" t="s">
        <v>18</v>
      </c>
      <c r="B35" s="11">
        <v>5</v>
      </c>
      <c r="C35" s="25" t="s">
        <v>18</v>
      </c>
    </row>
    <row r="36" spans="1:5" ht="15.75" thickBot="1" x14ac:dyDescent="0.3">
      <c r="A36" s="27" t="s">
        <v>19</v>
      </c>
      <c r="B36" s="21">
        <v>6</v>
      </c>
      <c r="C36" s="29" t="s">
        <v>19</v>
      </c>
    </row>
    <row r="38" spans="1:5" x14ac:dyDescent="0.25">
      <c r="A38" t="s">
        <v>848</v>
      </c>
    </row>
    <row r="39" spans="1:5" s="8" customFormat="1" ht="15.75" thickBot="1" x14ac:dyDescent="0.3">
      <c r="A39" s="8" t="s">
        <v>915</v>
      </c>
    </row>
    <row r="40" spans="1:5" x14ac:dyDescent="0.25">
      <c r="A40" s="22" t="s">
        <v>51</v>
      </c>
      <c r="B40" s="17" t="s">
        <v>49</v>
      </c>
      <c r="C40" s="23"/>
      <c r="D40" s="8">
        <v>1</v>
      </c>
      <c r="E40">
        <v>1</v>
      </c>
    </row>
    <row r="41" spans="1:5" s="8" customFormat="1" x14ac:dyDescent="0.25">
      <c r="A41" s="31" t="s">
        <v>212</v>
      </c>
      <c r="B41" s="11" t="s">
        <v>209</v>
      </c>
      <c r="C41" s="25"/>
      <c r="D41" s="8">
        <v>2</v>
      </c>
      <c r="E41" s="8">
        <v>2</v>
      </c>
    </row>
    <row r="42" spans="1:5" s="8" customFormat="1" x14ac:dyDescent="0.25">
      <c r="A42" s="31" t="s">
        <v>211</v>
      </c>
      <c r="B42" s="15" t="s">
        <v>210</v>
      </c>
      <c r="C42" s="25"/>
      <c r="D42" s="8">
        <v>1</v>
      </c>
      <c r="E42" s="8">
        <v>3</v>
      </c>
    </row>
    <row r="43" spans="1:5" x14ac:dyDescent="0.25">
      <c r="A43" s="31" t="s">
        <v>208</v>
      </c>
      <c r="B43" s="11" t="s">
        <v>50</v>
      </c>
      <c r="C43" s="25"/>
      <c r="D43" s="32">
        <v>2</v>
      </c>
      <c r="E43">
        <v>4</v>
      </c>
    </row>
    <row r="44" spans="1:5" s="8" customFormat="1" x14ac:dyDescent="0.25">
      <c r="A44" s="31" t="s">
        <v>213</v>
      </c>
      <c r="B44" s="11" t="s">
        <v>215</v>
      </c>
      <c r="C44" s="25"/>
      <c r="D44" s="32">
        <v>4</v>
      </c>
      <c r="E44" s="8">
        <v>5</v>
      </c>
    </row>
    <row r="45" spans="1:5" s="8" customFormat="1" x14ac:dyDescent="0.25">
      <c r="A45" s="31" t="s">
        <v>214</v>
      </c>
      <c r="B45" s="15" t="s">
        <v>216</v>
      </c>
      <c r="C45" s="25"/>
      <c r="D45" s="32">
        <v>2</v>
      </c>
      <c r="E45" s="8">
        <v>6</v>
      </c>
    </row>
    <row r="46" spans="1:5" s="8" customFormat="1" x14ac:dyDescent="0.25">
      <c r="A46" s="31" t="s">
        <v>237</v>
      </c>
      <c r="B46" s="31" t="s">
        <v>236</v>
      </c>
      <c r="C46" s="25"/>
      <c r="D46" s="32"/>
      <c r="E46" s="8">
        <v>11</v>
      </c>
    </row>
    <row r="47" spans="1:5" s="8" customFormat="1" x14ac:dyDescent="0.25">
      <c r="A47" s="31" t="s">
        <v>238</v>
      </c>
      <c r="B47" s="31" t="s">
        <v>246</v>
      </c>
      <c r="C47" s="25"/>
      <c r="D47" s="32"/>
      <c r="E47" s="8">
        <v>12</v>
      </c>
    </row>
    <row r="48" spans="1:5" s="8" customFormat="1" x14ac:dyDescent="0.25">
      <c r="A48" s="31" t="s">
        <v>239</v>
      </c>
      <c r="B48" s="31" t="s">
        <v>247</v>
      </c>
      <c r="C48" s="25"/>
      <c r="D48" s="32"/>
      <c r="E48" s="8">
        <v>13</v>
      </c>
    </row>
    <row r="49" spans="1:5" s="8" customFormat="1" x14ac:dyDescent="0.25">
      <c r="A49" s="31" t="s">
        <v>235</v>
      </c>
      <c r="B49" s="31" t="s">
        <v>248</v>
      </c>
      <c r="C49" s="25"/>
      <c r="D49" s="32"/>
      <c r="E49" s="8">
        <v>14</v>
      </c>
    </row>
    <row r="50" spans="1:5" s="8" customFormat="1" x14ac:dyDescent="0.25">
      <c r="A50" s="31" t="s">
        <v>240</v>
      </c>
      <c r="B50" s="31" t="s">
        <v>249</v>
      </c>
      <c r="C50" s="25"/>
      <c r="D50" s="32"/>
      <c r="E50" s="8">
        <v>15</v>
      </c>
    </row>
    <row r="51" spans="1:5" s="8" customFormat="1" x14ac:dyDescent="0.25">
      <c r="A51" s="31" t="s">
        <v>241</v>
      </c>
      <c r="B51" s="31" t="s">
        <v>250</v>
      </c>
      <c r="C51" s="25"/>
      <c r="D51" s="32"/>
      <c r="E51" s="8">
        <v>16</v>
      </c>
    </row>
    <row r="52" spans="1:5" s="8" customFormat="1" x14ac:dyDescent="0.25">
      <c r="A52" s="31" t="s">
        <v>242</v>
      </c>
      <c r="B52" s="31" t="s">
        <v>251</v>
      </c>
      <c r="C52" s="25"/>
      <c r="D52" s="32"/>
      <c r="E52" s="8">
        <v>17</v>
      </c>
    </row>
    <row r="53" spans="1:5" s="8" customFormat="1" x14ac:dyDescent="0.25">
      <c r="A53" s="31" t="s">
        <v>243</v>
      </c>
      <c r="B53" s="31" t="s">
        <v>252</v>
      </c>
      <c r="C53" s="25"/>
      <c r="D53" s="32"/>
      <c r="E53" s="8">
        <v>18</v>
      </c>
    </row>
    <row r="54" spans="1:5" s="8" customFormat="1" x14ac:dyDescent="0.25">
      <c r="A54" s="31" t="s">
        <v>244</v>
      </c>
      <c r="B54" s="31" t="s">
        <v>253</v>
      </c>
      <c r="C54" s="25"/>
      <c r="D54" s="32"/>
      <c r="E54" s="8">
        <v>19</v>
      </c>
    </row>
    <row r="55" spans="1:5" s="8" customFormat="1" x14ac:dyDescent="0.25">
      <c r="A55" s="31" t="s">
        <v>245</v>
      </c>
      <c r="B55" s="31" t="s">
        <v>254</v>
      </c>
      <c r="C55" s="25"/>
      <c r="D55" s="32"/>
      <c r="E55" s="8">
        <v>20</v>
      </c>
    </row>
    <row r="56" spans="1:5" s="8" customFormat="1" ht="15.75" thickBot="1" x14ac:dyDescent="0.3">
      <c r="A56" s="27" t="s">
        <v>400</v>
      </c>
      <c r="B56" s="21" t="s">
        <v>48</v>
      </c>
      <c r="C56" s="25"/>
      <c r="D56" s="32"/>
      <c r="E56" s="8">
        <v>7</v>
      </c>
    </row>
    <row r="57" spans="1:5" s="8" customFormat="1" ht="15.75" thickBot="1" x14ac:dyDescent="0.3">
      <c r="A57" s="27"/>
      <c r="B57" s="21"/>
      <c r="C57" s="29"/>
    </row>
    <row r="58" spans="1:5" ht="15.75" thickBot="1" x14ac:dyDescent="0.3"/>
    <row r="59" spans="1:5" s="8" customFormat="1" x14ac:dyDescent="0.25">
      <c r="A59" s="22" t="s">
        <v>21</v>
      </c>
      <c r="B59" s="17" t="s">
        <v>231</v>
      </c>
      <c r="C59" s="23"/>
      <c r="E59" s="8">
        <v>0</v>
      </c>
    </row>
    <row r="60" spans="1:5" x14ac:dyDescent="0.25">
      <c r="A60" s="31" t="s">
        <v>227</v>
      </c>
      <c r="B60" s="11" t="s">
        <v>403</v>
      </c>
      <c r="C60" s="25"/>
      <c r="E60">
        <v>8</v>
      </c>
    </row>
    <row r="61" spans="1:5" s="8" customFormat="1" x14ac:dyDescent="0.25">
      <c r="A61" s="31" t="s">
        <v>228</v>
      </c>
      <c r="B61" s="31" t="s">
        <v>232</v>
      </c>
      <c r="C61" s="25"/>
      <c r="E61" s="8">
        <v>9</v>
      </c>
    </row>
    <row r="62" spans="1:5" x14ac:dyDescent="0.25">
      <c r="A62" s="31" t="s">
        <v>229</v>
      </c>
      <c r="B62" s="31" t="s">
        <v>233</v>
      </c>
      <c r="C62" s="25"/>
      <c r="E62">
        <v>10</v>
      </c>
    </row>
    <row r="63" spans="1:5" ht="15.75" thickBot="1" x14ac:dyDescent="0.3">
      <c r="A63" s="27" t="s">
        <v>230</v>
      </c>
      <c r="B63" s="27" t="s">
        <v>234</v>
      </c>
      <c r="C63" s="29"/>
      <c r="E63">
        <v>11</v>
      </c>
    </row>
    <row r="64" spans="1:5" ht="15.75" thickBot="1" x14ac:dyDescent="0.3"/>
    <row r="65" spans="1:5" x14ac:dyDescent="0.25">
      <c r="A65" s="22" t="s">
        <v>22</v>
      </c>
      <c r="B65" s="17" t="s">
        <v>55</v>
      </c>
      <c r="C65" s="23"/>
    </row>
    <row r="66" spans="1:5" x14ac:dyDescent="0.25">
      <c r="A66" s="31" t="s">
        <v>23</v>
      </c>
      <c r="B66" s="11" t="s">
        <v>52</v>
      </c>
      <c r="C66" s="25"/>
      <c r="E66">
        <v>12</v>
      </c>
    </row>
    <row r="67" spans="1:5" x14ac:dyDescent="0.25">
      <c r="A67" s="31" t="s">
        <v>24</v>
      </c>
      <c r="B67" s="11" t="s">
        <v>53</v>
      </c>
      <c r="C67" s="25"/>
      <c r="E67">
        <v>13</v>
      </c>
    </row>
    <row r="68" spans="1:5" ht="15.75" thickBot="1" x14ac:dyDescent="0.3">
      <c r="A68" s="27" t="s">
        <v>25</v>
      </c>
      <c r="B68" s="21" t="s">
        <v>54</v>
      </c>
      <c r="C68" s="29"/>
      <c r="E68">
        <v>14</v>
      </c>
    </row>
    <row r="69" spans="1:5" ht="15.75" thickBot="1" x14ac:dyDescent="0.3">
      <c r="A69" s="210" t="s">
        <v>782</v>
      </c>
      <c r="B69" s="210" t="s">
        <v>781</v>
      </c>
      <c r="E69">
        <v>22</v>
      </c>
    </row>
    <row r="70" spans="1:5" x14ac:dyDescent="0.25">
      <c r="A70" s="22" t="s">
        <v>28</v>
      </c>
      <c r="B70" s="17" t="s">
        <v>255</v>
      </c>
      <c r="C70" s="23"/>
    </row>
    <row r="71" spans="1:5" x14ac:dyDescent="0.25">
      <c r="A71" s="31" t="s">
        <v>26</v>
      </c>
      <c r="B71" s="11" t="s">
        <v>256</v>
      </c>
      <c r="C71" s="25"/>
      <c r="E71">
        <v>15</v>
      </c>
    </row>
    <row r="72" spans="1:5" ht="15.75" thickBot="1" x14ac:dyDescent="0.3">
      <c r="A72" s="27" t="s">
        <v>27</v>
      </c>
      <c r="B72" s="21" t="s">
        <v>62</v>
      </c>
      <c r="C72" s="29"/>
      <c r="E72">
        <v>16</v>
      </c>
    </row>
    <row r="73" spans="1:5" ht="15.75" thickBot="1" x14ac:dyDescent="0.3"/>
    <row r="74" spans="1:5" x14ac:dyDescent="0.25">
      <c r="A74" s="22" t="s">
        <v>29</v>
      </c>
      <c r="B74" s="17" t="s">
        <v>59</v>
      </c>
      <c r="C74" s="23"/>
    </row>
    <row r="75" spans="1:5" x14ac:dyDescent="0.25">
      <c r="A75" s="31" t="s">
        <v>30</v>
      </c>
      <c r="B75" s="11" t="s">
        <v>60</v>
      </c>
      <c r="C75" s="25"/>
      <c r="E75">
        <v>17</v>
      </c>
    </row>
    <row r="76" spans="1:5" ht="15.75" thickBot="1" x14ac:dyDescent="0.3">
      <c r="A76" s="27" t="s">
        <v>31</v>
      </c>
      <c r="B76" s="21" t="s">
        <v>61</v>
      </c>
      <c r="C76" s="29"/>
      <c r="E76">
        <v>18</v>
      </c>
    </row>
    <row r="77" spans="1:5" ht="15.75" thickBot="1" x14ac:dyDescent="0.3"/>
    <row r="78" spans="1:5" x14ac:dyDescent="0.25">
      <c r="A78" s="22" t="s">
        <v>408</v>
      </c>
      <c r="B78" s="17" t="s">
        <v>56</v>
      </c>
      <c r="C78" s="23"/>
    </row>
    <row r="79" spans="1:5" s="8" customFormat="1" x14ac:dyDescent="0.25">
      <c r="A79" s="31" t="s">
        <v>33</v>
      </c>
      <c r="B79" s="51" t="s">
        <v>57</v>
      </c>
      <c r="C79" s="25"/>
      <c r="E79" s="8">
        <v>19</v>
      </c>
    </row>
    <row r="80" spans="1:5" x14ac:dyDescent="0.25">
      <c r="A80" s="51" t="s">
        <v>32</v>
      </c>
      <c r="B80" s="51" t="s">
        <v>58</v>
      </c>
      <c r="C80" s="51"/>
      <c r="E80">
        <v>20</v>
      </c>
    </row>
    <row r="81" spans="1:7" ht="15.75" thickBot="1" x14ac:dyDescent="0.3">
      <c r="A81" s="27" t="s">
        <v>401</v>
      </c>
      <c r="B81" s="21" t="s">
        <v>402</v>
      </c>
      <c r="C81" s="29"/>
      <c r="E81">
        <v>21</v>
      </c>
    </row>
    <row r="82" spans="1:7" x14ac:dyDescent="0.25">
      <c r="A82" s="22" t="s">
        <v>113</v>
      </c>
      <c r="B82" s="17">
        <v>10</v>
      </c>
      <c r="C82" s="23" t="s">
        <v>67</v>
      </c>
    </row>
    <row r="83" spans="1:7" ht="15.75" thickBot="1" x14ac:dyDescent="0.3">
      <c r="A83" s="27" t="s">
        <v>114</v>
      </c>
      <c r="B83" s="21">
        <v>20</v>
      </c>
      <c r="C83" s="29" t="s">
        <v>68</v>
      </c>
    </row>
    <row r="84" spans="1:7" ht="15.75" thickBot="1" x14ac:dyDescent="0.3">
      <c r="B84" t="e">
        <f>IF(Лист1!#REF!=Лист3!A82,10,IF(Лист1!#REF!=Лист3!A83,20,0))</f>
        <v>#REF!</v>
      </c>
    </row>
    <row r="85" spans="1:7" ht="45" x14ac:dyDescent="0.25">
      <c r="A85" s="16" t="s">
        <v>34</v>
      </c>
      <c r="B85" s="17">
        <v>1</v>
      </c>
      <c r="C85" s="30" t="s">
        <v>34</v>
      </c>
      <c r="D85" s="18">
        <v>1</v>
      </c>
    </row>
    <row r="86" spans="1:7" ht="30" x14ac:dyDescent="0.25">
      <c r="A86" s="19" t="s">
        <v>35</v>
      </c>
      <c r="B86" s="11">
        <v>2</v>
      </c>
      <c r="C86" s="26" t="s">
        <v>35</v>
      </c>
      <c r="D86" s="20">
        <v>1</v>
      </c>
    </row>
    <row r="87" spans="1:7" ht="45" x14ac:dyDescent="0.25">
      <c r="A87" s="19" t="s">
        <v>405</v>
      </c>
      <c r="B87" s="11">
        <v>3</v>
      </c>
      <c r="C87" s="26" t="s">
        <v>405</v>
      </c>
      <c r="D87" s="20">
        <v>1</v>
      </c>
    </row>
    <row r="88" spans="1:7" ht="30" x14ac:dyDescent="0.25">
      <c r="A88" s="19" t="s">
        <v>36</v>
      </c>
      <c r="B88" s="11">
        <v>4</v>
      </c>
      <c r="C88" s="26" t="s">
        <v>36</v>
      </c>
      <c r="D88" s="20">
        <v>1</v>
      </c>
    </row>
    <row r="89" spans="1:7" ht="30" x14ac:dyDescent="0.25">
      <c r="A89" s="19" t="s">
        <v>340</v>
      </c>
      <c r="B89" s="11">
        <v>5</v>
      </c>
      <c r="C89" s="26" t="s">
        <v>341</v>
      </c>
      <c r="D89" s="20">
        <v>2</v>
      </c>
      <c r="F89" s="10"/>
      <c r="G89" s="10"/>
    </row>
    <row r="90" spans="1:7" ht="30" x14ac:dyDescent="0.25">
      <c r="A90" s="19" t="s">
        <v>342</v>
      </c>
      <c r="B90" s="11">
        <v>6</v>
      </c>
      <c r="C90" s="26" t="s">
        <v>342</v>
      </c>
      <c r="D90" s="20">
        <v>2</v>
      </c>
    </row>
    <row r="91" spans="1:7" x14ac:dyDescent="0.25">
      <c r="A91" s="31" t="s">
        <v>37</v>
      </c>
      <c r="B91" s="11">
        <v>7</v>
      </c>
      <c r="C91" s="11" t="s">
        <v>343</v>
      </c>
      <c r="D91" s="20">
        <v>2</v>
      </c>
    </row>
    <row r="92" spans="1:7" x14ac:dyDescent="0.25">
      <c r="A92" s="31" t="s">
        <v>38</v>
      </c>
      <c r="B92" s="11">
        <v>8</v>
      </c>
      <c r="C92" s="11" t="s">
        <v>38</v>
      </c>
      <c r="D92" s="20">
        <v>2</v>
      </c>
    </row>
    <row r="93" spans="1:7" ht="15.75" thickBot="1" x14ac:dyDescent="0.3">
      <c r="A93" s="27" t="s">
        <v>39</v>
      </c>
      <c r="B93" s="21">
        <v>9</v>
      </c>
      <c r="C93" s="21" t="s">
        <v>39</v>
      </c>
      <c r="D93" s="29" t="s">
        <v>42</v>
      </c>
    </row>
    <row r="94" spans="1:7" ht="15.75" thickBot="1" x14ac:dyDescent="0.3">
      <c r="B94" t="e">
        <f>VLOOKUP(Лист1!#REF!,A85:B93,2,FALSE)</f>
        <v>#REF!</v>
      </c>
    </row>
    <row r="95" spans="1:7" x14ac:dyDescent="0.25">
      <c r="A95" s="22" t="s">
        <v>40</v>
      </c>
      <c r="B95" s="17">
        <v>0</v>
      </c>
      <c r="C95" s="23" t="s">
        <v>40</v>
      </c>
    </row>
    <row r="96" spans="1:7" ht="15.75" thickBot="1" x14ac:dyDescent="0.3">
      <c r="A96" s="27" t="s">
        <v>41</v>
      </c>
      <c r="B96" s="21" t="s">
        <v>42</v>
      </c>
      <c r="C96" s="29" t="s">
        <v>41</v>
      </c>
    </row>
    <row r="97" spans="1:4" ht="15.75" thickBot="1" x14ac:dyDescent="0.3"/>
    <row r="98" spans="1:4" x14ac:dyDescent="0.25">
      <c r="A98" s="22" t="s">
        <v>43</v>
      </c>
      <c r="B98" s="17" t="s">
        <v>44</v>
      </c>
      <c r="C98" s="23" t="s">
        <v>69</v>
      </c>
    </row>
    <row r="99" spans="1:4" ht="15.75" thickBot="1" x14ac:dyDescent="0.3">
      <c r="A99" s="27" t="s">
        <v>45</v>
      </c>
      <c r="B99" s="21" t="s">
        <v>46</v>
      </c>
      <c r="C99" s="29" t="s">
        <v>70</v>
      </c>
    </row>
    <row r="100" spans="1:4" ht="15.75" thickBot="1" x14ac:dyDescent="0.3">
      <c r="D100" s="1" t="s">
        <v>878</v>
      </c>
    </row>
    <row r="101" spans="1:4" ht="30" x14ac:dyDescent="0.25">
      <c r="A101" s="16"/>
      <c r="B101" s="17"/>
      <c r="C101" s="18"/>
      <c r="D101" s="169" t="s">
        <v>879</v>
      </c>
    </row>
    <row r="102" spans="1:4" ht="30" x14ac:dyDescent="0.25">
      <c r="A102" s="19" t="s">
        <v>858</v>
      </c>
      <c r="B102" s="11"/>
      <c r="C102" s="20"/>
      <c r="D102" s="20" t="s">
        <v>880</v>
      </c>
    </row>
    <row r="103" spans="1:4" ht="30" x14ac:dyDescent="0.25">
      <c r="A103" s="19" t="s">
        <v>859</v>
      </c>
      <c r="B103" s="11"/>
      <c r="C103" s="20" t="s">
        <v>861</v>
      </c>
      <c r="D103" s="1" t="s">
        <v>881</v>
      </c>
    </row>
    <row r="104" spans="1:4" ht="30" x14ac:dyDescent="0.25">
      <c r="A104" s="19"/>
      <c r="B104" s="11"/>
      <c r="C104" s="20" t="s">
        <v>862</v>
      </c>
      <c r="D104" s="1" t="s">
        <v>882</v>
      </c>
    </row>
    <row r="105" spans="1:4" ht="30" x14ac:dyDescent="0.25">
      <c r="A105" s="19"/>
      <c r="B105" s="11"/>
      <c r="C105" s="20" t="s">
        <v>863</v>
      </c>
      <c r="D105" s="1" t="s">
        <v>883</v>
      </c>
    </row>
    <row r="106" spans="1:4" ht="30" x14ac:dyDescent="0.25">
      <c r="A106" s="19"/>
      <c r="B106" s="11"/>
      <c r="C106" s="20"/>
      <c r="D106" s="1" t="s">
        <v>884</v>
      </c>
    </row>
    <row r="107" spans="1:4" ht="30" x14ac:dyDescent="0.25">
      <c r="A107" s="19"/>
      <c r="B107" s="11"/>
      <c r="C107" s="20"/>
      <c r="D107" s="1" t="s">
        <v>885</v>
      </c>
    </row>
    <row r="108" spans="1:4" ht="30" x14ac:dyDescent="0.25">
      <c r="A108" s="19"/>
      <c r="B108" s="11"/>
      <c r="C108" s="20"/>
      <c r="D108" s="1" t="s">
        <v>886</v>
      </c>
    </row>
    <row r="109" spans="1:4" ht="30" x14ac:dyDescent="0.25">
      <c r="A109" s="19"/>
      <c r="B109" s="11"/>
      <c r="C109" s="20"/>
      <c r="D109" s="1" t="s">
        <v>887</v>
      </c>
    </row>
    <row r="110" spans="1:4" ht="30" x14ac:dyDescent="0.25">
      <c r="A110" s="19"/>
      <c r="B110" s="11"/>
      <c r="C110" s="20"/>
      <c r="D110" s="1" t="s">
        <v>888</v>
      </c>
    </row>
    <row r="111" spans="1:4" ht="30" x14ac:dyDescent="0.25">
      <c r="A111" s="19"/>
      <c r="B111" s="11"/>
      <c r="C111" s="20"/>
      <c r="D111" s="1" t="s">
        <v>889</v>
      </c>
    </row>
    <row r="112" spans="1:4" ht="15.75" thickBot="1" x14ac:dyDescent="0.3">
      <c r="A112" s="19"/>
      <c r="B112" s="11"/>
      <c r="C112" s="20"/>
      <c r="D112" s="1"/>
    </row>
    <row r="113" spans="1:6" x14ac:dyDescent="0.25">
      <c r="A113" s="22" t="s">
        <v>79</v>
      </c>
      <c r="B113" s="17"/>
      <c r="C113" s="17"/>
      <c r="D113" s="23"/>
    </row>
    <row r="114" spans="1:6" ht="15.75" x14ac:dyDescent="0.25">
      <c r="A114" s="24" t="s">
        <v>76</v>
      </c>
      <c r="B114" s="11"/>
      <c r="C114" s="11">
        <v>1</v>
      </c>
      <c r="D114"/>
    </row>
    <row r="115" spans="1:6" ht="15.75" x14ac:dyDescent="0.25">
      <c r="A115" s="24" t="s">
        <v>77</v>
      </c>
      <c r="B115" s="11"/>
      <c r="C115" s="26" t="s">
        <v>79</v>
      </c>
      <c r="D115" s="25"/>
    </row>
    <row r="116" spans="1:6" ht="15.75" thickBot="1" x14ac:dyDescent="0.3">
      <c r="A116" s="31"/>
      <c r="B116" s="21"/>
      <c r="C116" s="28" t="s">
        <v>47</v>
      </c>
      <c r="D116" s="29"/>
    </row>
    <row r="117" spans="1:6" s="8" customFormat="1" ht="15.75" thickBot="1" x14ac:dyDescent="0.3">
      <c r="A117" s="37" t="s">
        <v>79</v>
      </c>
      <c r="B117" s="51">
        <v>0</v>
      </c>
      <c r="C117" s="26"/>
      <c r="D117" s="25"/>
    </row>
    <row r="118" spans="1:6" ht="15.75" x14ac:dyDescent="0.25">
      <c r="A118" s="141" t="s">
        <v>83</v>
      </c>
      <c r="B118" s="17">
        <v>1</v>
      </c>
      <c r="C118" s="17" t="s">
        <v>91</v>
      </c>
      <c r="D118" s="23" t="s">
        <v>223</v>
      </c>
      <c r="E118" s="22"/>
      <c r="F118" s="23"/>
    </row>
    <row r="119" spans="1:6" ht="15.75" x14ac:dyDescent="0.25">
      <c r="A119" s="35" t="s">
        <v>87</v>
      </c>
      <c r="B119" s="11">
        <v>2</v>
      </c>
      <c r="C119" s="11" t="s">
        <v>93</v>
      </c>
      <c r="D119" s="25" t="s">
        <v>95</v>
      </c>
      <c r="E119" s="33" t="s">
        <v>99</v>
      </c>
      <c r="F119" s="25"/>
    </row>
    <row r="120" spans="1:6" ht="15.75" x14ac:dyDescent="0.25">
      <c r="A120" s="35" t="s">
        <v>85</v>
      </c>
      <c r="B120" s="32">
        <v>3</v>
      </c>
      <c r="C120" s="32" t="s">
        <v>94</v>
      </c>
      <c r="D120" s="25" t="s">
        <v>95</v>
      </c>
      <c r="E120" s="33" t="s">
        <v>100</v>
      </c>
      <c r="F120" s="25"/>
    </row>
    <row r="121" spans="1:6" ht="16.5" thickBot="1" x14ac:dyDescent="0.3">
      <c r="A121" s="35" t="s">
        <v>86</v>
      </c>
      <c r="B121" s="32"/>
      <c r="C121" s="11"/>
      <c r="D121" s="25"/>
      <c r="E121" s="27" t="s">
        <v>101</v>
      </c>
      <c r="F121" s="29"/>
    </row>
    <row r="122" spans="1:6" ht="15.75" x14ac:dyDescent="0.25">
      <c r="A122" s="35" t="s">
        <v>88</v>
      </c>
      <c r="B122" s="32"/>
      <c r="C122" s="40"/>
      <c r="D122" s="25"/>
    </row>
    <row r="123" spans="1:6" s="8" customFormat="1" ht="15.75" x14ac:dyDescent="0.25">
      <c r="A123" s="35" t="s">
        <v>89</v>
      </c>
      <c r="B123" s="32"/>
      <c r="C123" s="40"/>
      <c r="D123" s="25"/>
    </row>
    <row r="124" spans="1:6" ht="16.5" thickBot="1" x14ac:dyDescent="0.3">
      <c r="A124" s="36" t="s">
        <v>84</v>
      </c>
      <c r="B124" s="21">
        <v>7</v>
      </c>
      <c r="C124" s="21"/>
      <c r="D124" s="29"/>
    </row>
    <row r="125" spans="1:6" ht="16.5" thickBot="1" x14ac:dyDescent="0.3">
      <c r="A125" s="35" t="s">
        <v>404</v>
      </c>
      <c r="B125" s="210">
        <v>8</v>
      </c>
    </row>
    <row r="126" spans="1:6" ht="15.75" x14ac:dyDescent="0.25">
      <c r="A126" s="34" t="s">
        <v>102</v>
      </c>
      <c r="C126" s="37" t="s">
        <v>104</v>
      </c>
    </row>
    <row r="127" spans="1:6" ht="15.75" x14ac:dyDescent="0.25">
      <c r="A127" s="35" t="s">
        <v>103</v>
      </c>
      <c r="C127" s="38" t="s">
        <v>106</v>
      </c>
    </row>
    <row r="128" spans="1:6" ht="15.75" x14ac:dyDescent="0.25">
      <c r="A128" s="35" t="s">
        <v>115</v>
      </c>
      <c r="C128" s="38" t="s">
        <v>109</v>
      </c>
    </row>
    <row r="129" spans="1:4" ht="16.5" thickBot="1" x14ac:dyDescent="0.3">
      <c r="A129" s="36" t="s">
        <v>116</v>
      </c>
      <c r="C129" s="39" t="s">
        <v>105</v>
      </c>
    </row>
    <row r="130" spans="1:4" ht="15.75" thickBot="1" x14ac:dyDescent="0.3"/>
    <row r="131" spans="1:4" ht="15.75" x14ac:dyDescent="0.25">
      <c r="A131" s="34" t="s">
        <v>107</v>
      </c>
      <c r="C131" t="s">
        <v>218</v>
      </c>
    </row>
    <row r="132" spans="1:4" ht="15.75" x14ac:dyDescent="0.25">
      <c r="A132" s="35" t="s">
        <v>108</v>
      </c>
      <c r="D132" s="8">
        <v>3</v>
      </c>
    </row>
    <row r="133" spans="1:4" ht="16.5" thickBot="1" x14ac:dyDescent="0.3">
      <c r="A133" s="36" t="s">
        <v>110</v>
      </c>
      <c r="D133" s="8">
        <v>6</v>
      </c>
    </row>
    <row r="134" spans="1:4" ht="16.5" thickBot="1" x14ac:dyDescent="0.3">
      <c r="A134" s="35" t="s">
        <v>415</v>
      </c>
      <c r="D134" s="8">
        <v>11.5</v>
      </c>
    </row>
    <row r="135" spans="1:4" ht="15.75" x14ac:dyDescent="0.25">
      <c r="A135" s="34"/>
      <c r="C135" t="s">
        <v>258</v>
      </c>
      <c r="D135" s="8">
        <v>2</v>
      </c>
    </row>
    <row r="136" spans="1:4" s="8" customFormat="1" ht="15.75" x14ac:dyDescent="0.25">
      <c r="A136" s="35"/>
      <c r="C136" s="8" t="s">
        <v>259</v>
      </c>
      <c r="D136" s="8">
        <v>1</v>
      </c>
    </row>
    <row r="137" spans="1:4" ht="15.75" x14ac:dyDescent="0.25">
      <c r="A137" s="35" t="s">
        <v>811</v>
      </c>
      <c r="C137" t="s">
        <v>257</v>
      </c>
      <c r="D137" s="8">
        <v>0</v>
      </c>
    </row>
    <row r="138" spans="1:4" ht="16.5" thickBot="1" x14ac:dyDescent="0.3">
      <c r="A138" s="36"/>
    </row>
    <row r="139" spans="1:4" ht="15.75" x14ac:dyDescent="0.25">
      <c r="A139" s="148" t="s">
        <v>816</v>
      </c>
    </row>
    <row r="140" spans="1:4" ht="15.75" x14ac:dyDescent="0.25">
      <c r="A140" s="149" t="s">
        <v>817</v>
      </c>
    </row>
    <row r="141" spans="1:4" s="287" customFormat="1" ht="15.75" x14ac:dyDescent="0.25">
      <c r="A141" s="150"/>
    </row>
    <row r="142" spans="1:4" ht="15.75" x14ac:dyDescent="0.25">
      <c r="A142" s="150"/>
    </row>
    <row r="143" spans="1:4" ht="15.75" x14ac:dyDescent="0.25">
      <c r="A143" s="150" t="s">
        <v>853</v>
      </c>
    </row>
    <row r="144" spans="1:4" ht="15.75" x14ac:dyDescent="0.25">
      <c r="A144" s="150" t="s">
        <v>854</v>
      </c>
    </row>
    <row r="145" spans="1:5" ht="15.75" x14ac:dyDescent="0.25">
      <c r="A145" s="150" t="s">
        <v>842</v>
      </c>
    </row>
    <row r="146" spans="1:5" s="287" customFormat="1" ht="15.75" x14ac:dyDescent="0.25">
      <c r="A146" s="150" t="s">
        <v>843</v>
      </c>
    </row>
    <row r="147" spans="1:5" ht="15.75" x14ac:dyDescent="0.25">
      <c r="A147" s="151" t="s">
        <v>844</v>
      </c>
    </row>
    <row r="148" spans="1:5" ht="15.75" x14ac:dyDescent="0.25">
      <c r="A148" s="150" t="s">
        <v>845</v>
      </c>
    </row>
    <row r="149" spans="1:5" ht="17.25" customHeight="1" x14ac:dyDescent="0.25">
      <c r="A149" s="148" t="s">
        <v>932</v>
      </c>
    </row>
    <row r="150" spans="1:5" ht="15.75" x14ac:dyDescent="0.25">
      <c r="A150" s="148"/>
    </row>
    <row r="151" spans="1:5" ht="15.75" x14ac:dyDescent="0.25">
      <c r="A151" s="148"/>
    </row>
    <row r="153" spans="1:5" ht="15.75" x14ac:dyDescent="0.25">
      <c r="A153" s="148" t="s">
        <v>837</v>
      </c>
    </row>
    <row r="154" spans="1:5" ht="15.75" x14ac:dyDescent="0.25">
      <c r="A154" s="147" t="s">
        <v>838</v>
      </c>
      <c r="B154" s="146"/>
    </row>
    <row r="155" spans="1:5" ht="15.75" x14ac:dyDescent="0.25">
      <c r="A155" s="147" t="s">
        <v>839</v>
      </c>
      <c r="B155" s="146"/>
      <c r="D155" s="146"/>
    </row>
    <row r="156" spans="1:5" ht="15.75" x14ac:dyDescent="0.25">
      <c r="A156" s="147" t="s">
        <v>840</v>
      </c>
      <c r="B156" s="146"/>
      <c r="D156" s="146"/>
      <c r="E156" s="146"/>
    </row>
    <row r="157" spans="1:5" ht="15.75" x14ac:dyDescent="0.25">
      <c r="A157" s="147" t="s">
        <v>846</v>
      </c>
      <c r="B157" s="146"/>
    </row>
    <row r="158" spans="1:5" ht="15.75" x14ac:dyDescent="0.25">
      <c r="A158" s="147" t="s">
        <v>847</v>
      </c>
      <c r="B158" s="146"/>
      <c r="D158" s="146"/>
      <c r="E158" s="146"/>
    </row>
    <row r="159" spans="1:5" ht="15.75" x14ac:dyDescent="0.25">
      <c r="A159" s="147" t="s">
        <v>849</v>
      </c>
    </row>
    <row r="160" spans="1:5" ht="15.75" x14ac:dyDescent="0.25">
      <c r="A160" s="147" t="s">
        <v>359</v>
      </c>
    </row>
    <row r="161" spans="1:2" ht="15.75" x14ac:dyDescent="0.25">
      <c r="A161" s="147" t="s">
        <v>361</v>
      </c>
      <c r="B161" s="146"/>
    </row>
    <row r="162" spans="1:2" ht="15.75" x14ac:dyDescent="0.25">
      <c r="A162" s="147" t="s">
        <v>856</v>
      </c>
      <c r="B162" s="146"/>
    </row>
    <row r="163" spans="1:2" ht="15.75" x14ac:dyDescent="0.25">
      <c r="A163" s="147" t="s">
        <v>857</v>
      </c>
      <c r="B163" s="146"/>
    </row>
    <row r="164" spans="1:2" ht="15.75" x14ac:dyDescent="0.25">
      <c r="A164" s="147" t="s">
        <v>860</v>
      </c>
      <c r="B164" s="146"/>
    </row>
    <row r="165" spans="1:2" ht="15.75" x14ac:dyDescent="0.25">
      <c r="A165" s="147" t="s">
        <v>893</v>
      </c>
      <c r="B165" s="146"/>
    </row>
    <row r="166" spans="1:2" x14ac:dyDescent="0.25">
      <c r="B166" s="146"/>
    </row>
    <row r="167" spans="1:2" x14ac:dyDescent="0.25">
      <c r="B167" s="146"/>
    </row>
    <row r="168" spans="1:2" x14ac:dyDescent="0.25">
      <c r="B168" s="146"/>
    </row>
    <row r="169" spans="1:2" x14ac:dyDescent="0.25">
      <c r="B169" s="146"/>
    </row>
    <row r="170" spans="1:2" x14ac:dyDescent="0.25">
      <c r="B170" s="146"/>
    </row>
    <row r="171" spans="1:2" x14ac:dyDescent="0.25">
      <c r="B171" s="146"/>
    </row>
    <row r="172" spans="1:2" x14ac:dyDescent="0.25">
      <c r="B172" s="146"/>
    </row>
    <row r="173" spans="1:2" x14ac:dyDescent="0.25">
      <c r="B173" s="146"/>
    </row>
    <row r="174" spans="1:2" x14ac:dyDescent="0.25">
      <c r="B174" s="146"/>
    </row>
    <row r="175" spans="1:2" x14ac:dyDescent="0.25">
      <c r="B175" s="146"/>
    </row>
    <row r="176" spans="1:2" x14ac:dyDescent="0.25">
      <c r="B176" s="146"/>
    </row>
    <row r="179" spans="1:2" x14ac:dyDescent="0.25">
      <c r="B179">
        <v>0</v>
      </c>
    </row>
    <row r="180" spans="1:2" x14ac:dyDescent="0.25">
      <c r="A180" t="s">
        <v>934</v>
      </c>
      <c r="B180">
        <v>2</v>
      </c>
    </row>
    <row r="181" spans="1:2" x14ac:dyDescent="0.25">
      <c r="A181" t="s">
        <v>935</v>
      </c>
      <c r="B181">
        <v>2</v>
      </c>
    </row>
    <row r="182" spans="1:2" x14ac:dyDescent="0.25">
      <c r="A182" s="331" t="s">
        <v>936</v>
      </c>
      <c r="B182">
        <v>4</v>
      </c>
    </row>
    <row r="183" spans="1:2" x14ac:dyDescent="0.25">
      <c r="A183" s="331" t="s">
        <v>937</v>
      </c>
    </row>
    <row r="184" spans="1:2" x14ac:dyDescent="0.25">
      <c r="A184" t="s">
        <v>365</v>
      </c>
      <c r="B184">
        <v>1</v>
      </c>
    </row>
    <row r="185" spans="1:2" x14ac:dyDescent="0.25">
      <c r="A185" t="s">
        <v>366</v>
      </c>
      <c r="B185">
        <v>0</v>
      </c>
    </row>
    <row r="187" spans="1:2" x14ac:dyDescent="0.25">
      <c r="A187" t="s">
        <v>372</v>
      </c>
      <c r="B187">
        <v>1</v>
      </c>
    </row>
    <row r="188" spans="1:2" x14ac:dyDescent="0.25">
      <c r="A188" t="s">
        <v>373</v>
      </c>
      <c r="B188">
        <v>0</v>
      </c>
    </row>
    <row r="190" spans="1:2" x14ac:dyDescent="0.25">
      <c r="A190" t="s">
        <v>367</v>
      </c>
      <c r="B190">
        <v>1</v>
      </c>
    </row>
    <row r="191" spans="1:2" x14ac:dyDescent="0.25">
      <c r="A191" t="s">
        <v>368</v>
      </c>
      <c r="B191">
        <v>0</v>
      </c>
    </row>
    <row r="193" spans="1:2" x14ac:dyDescent="0.25">
      <c r="A193" t="s">
        <v>369</v>
      </c>
      <c r="B193">
        <v>1</v>
      </c>
    </row>
    <row r="194" spans="1:2" x14ac:dyDescent="0.25">
      <c r="A194" t="s">
        <v>370</v>
      </c>
      <c r="B194">
        <v>2</v>
      </c>
    </row>
    <row r="195" spans="1:2" x14ac:dyDescent="0.25">
      <c r="A195" t="s">
        <v>371</v>
      </c>
      <c r="B195">
        <v>3</v>
      </c>
    </row>
    <row r="200" spans="1:2" x14ac:dyDescent="0.25">
      <c r="A200" t="s">
        <v>374</v>
      </c>
    </row>
    <row r="201" spans="1:2" x14ac:dyDescent="0.25">
      <c r="A201" t="s">
        <v>375</v>
      </c>
    </row>
    <row r="202" spans="1:2" s="180" customFormat="1" x14ac:dyDescent="0.25">
      <c r="A202" s="180" t="s">
        <v>383</v>
      </c>
    </row>
    <row r="203" spans="1:2" s="180" customFormat="1" x14ac:dyDescent="0.25">
      <c r="A203" s="180" t="s">
        <v>388</v>
      </c>
    </row>
    <row r="204" spans="1:2" x14ac:dyDescent="0.25">
      <c r="A204" t="s">
        <v>376</v>
      </c>
    </row>
    <row r="205" spans="1:2" x14ac:dyDescent="0.25">
      <c r="A205" t="s">
        <v>377</v>
      </c>
    </row>
    <row r="206" spans="1:2" x14ac:dyDescent="0.25">
      <c r="A206" t="s">
        <v>378</v>
      </c>
    </row>
    <row r="207" spans="1:2" s="180" customFormat="1" x14ac:dyDescent="0.25">
      <c r="A207" s="180" t="s">
        <v>384</v>
      </c>
    </row>
    <row r="208" spans="1:2" x14ac:dyDescent="0.25">
      <c r="A208" t="s">
        <v>379</v>
      </c>
    </row>
    <row r="209" spans="1:1" x14ac:dyDescent="0.25">
      <c r="A209" t="s">
        <v>380</v>
      </c>
    </row>
    <row r="210" spans="1:1" x14ac:dyDescent="0.25">
      <c r="A210" t="s">
        <v>381</v>
      </c>
    </row>
    <row r="211" spans="1:1" x14ac:dyDescent="0.25">
      <c r="A211" t="s">
        <v>382</v>
      </c>
    </row>
    <row r="213" spans="1:1" x14ac:dyDescent="0.25">
      <c r="A213" s="196">
        <v>0</v>
      </c>
    </row>
    <row r="215" spans="1:1" x14ac:dyDescent="0.25">
      <c r="A215" t="s">
        <v>557</v>
      </c>
    </row>
    <row r="216" spans="1:1" x14ac:dyDescent="0.25">
      <c r="A216" t="s">
        <v>558</v>
      </c>
    </row>
    <row r="217" spans="1:1" x14ac:dyDescent="0.25">
      <c r="A217" s="214" t="s">
        <v>559</v>
      </c>
    </row>
    <row r="218" spans="1:1" x14ac:dyDescent="0.25">
      <c r="A218" t="s">
        <v>560</v>
      </c>
    </row>
    <row r="219" spans="1:1" x14ac:dyDescent="0.25">
      <c r="A219" t="s">
        <v>561</v>
      </c>
    </row>
    <row r="220" spans="1:1" x14ac:dyDescent="0.25">
      <c r="A220" t="s">
        <v>562</v>
      </c>
    </row>
    <row r="221" spans="1:1" x14ac:dyDescent="0.25">
      <c r="A221" s="214" t="s">
        <v>563</v>
      </c>
    </row>
    <row r="222" spans="1:1" x14ac:dyDescent="0.25">
      <c r="A222" t="s">
        <v>564</v>
      </c>
    </row>
    <row r="223" spans="1:1" x14ac:dyDescent="0.25">
      <c r="A223" t="s">
        <v>565</v>
      </c>
    </row>
    <row r="224" spans="1:1" x14ac:dyDescent="0.25">
      <c r="A224" t="s">
        <v>566</v>
      </c>
    </row>
    <row r="225" spans="1:1" s="225" customFormat="1" x14ac:dyDescent="0.25">
      <c r="A225" s="225" t="s">
        <v>689</v>
      </c>
    </row>
    <row r="226" spans="1:1" x14ac:dyDescent="0.25">
      <c r="A226" t="s">
        <v>567</v>
      </c>
    </row>
    <row r="227" spans="1:1" x14ac:dyDescent="0.25">
      <c r="A227" t="s">
        <v>672</v>
      </c>
    </row>
    <row r="228" spans="1:1" x14ac:dyDescent="0.25">
      <c r="A228" t="s">
        <v>720</v>
      </c>
    </row>
    <row r="229" spans="1:1" x14ac:dyDescent="0.25">
      <c r="A229" t="s">
        <v>721</v>
      </c>
    </row>
    <row r="230" spans="1:1" x14ac:dyDescent="0.25">
      <c r="A230" t="s">
        <v>722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Y86"/>
  <sheetViews>
    <sheetView workbookViewId="0">
      <selection activeCell="A14" sqref="A14"/>
    </sheetView>
  </sheetViews>
  <sheetFormatPr defaultRowHeight="15" x14ac:dyDescent="0.25"/>
  <cols>
    <col min="1" max="1" width="36" customWidth="1"/>
    <col min="2" max="2" width="13.28515625" customWidth="1"/>
    <col min="3" max="3" width="68.5703125" customWidth="1"/>
    <col min="7" max="7" width="20.5703125" customWidth="1"/>
    <col min="8" max="8" width="11.42578125" customWidth="1"/>
    <col min="9" max="9" width="70.42578125" customWidth="1"/>
  </cols>
  <sheetData>
    <row r="1" spans="1:9" ht="30" x14ac:dyDescent="0.25">
      <c r="A1" s="200" t="s">
        <v>723</v>
      </c>
      <c r="B1">
        <v>0</v>
      </c>
      <c r="C1" s="1" t="s">
        <v>677</v>
      </c>
      <c r="G1" s="212" t="s">
        <v>389</v>
      </c>
      <c r="H1" t="s">
        <v>675</v>
      </c>
    </row>
    <row r="2" spans="1:9" s="212" customFormat="1" ht="27" customHeight="1" x14ac:dyDescent="0.25">
      <c r="A2" s="270" t="s">
        <v>724</v>
      </c>
      <c r="B2" s="212">
        <v>0</v>
      </c>
      <c r="C2" s="1" t="s">
        <v>676</v>
      </c>
      <c r="G2" s="224" t="s">
        <v>266</v>
      </c>
      <c r="I2" s="1" t="s">
        <v>676</v>
      </c>
    </row>
    <row r="3" spans="1:9" ht="30" x14ac:dyDescent="0.25">
      <c r="A3" s="1" t="s">
        <v>407</v>
      </c>
      <c r="B3">
        <v>0</v>
      </c>
      <c r="C3" s="1" t="s">
        <v>679</v>
      </c>
      <c r="G3" s="212" t="s">
        <v>267</v>
      </c>
      <c r="I3" s="1" t="s">
        <v>676</v>
      </c>
    </row>
    <row r="4" spans="1:9" ht="30" x14ac:dyDescent="0.25">
      <c r="A4" s="1" t="s">
        <v>725</v>
      </c>
      <c r="B4">
        <v>0</v>
      </c>
      <c r="C4" s="1" t="s">
        <v>680</v>
      </c>
      <c r="G4" s="212" t="s">
        <v>268</v>
      </c>
      <c r="I4" s="1" t="s">
        <v>676</v>
      </c>
    </row>
    <row r="5" spans="1:9" ht="30" x14ac:dyDescent="0.25">
      <c r="A5" s="146" t="s">
        <v>933</v>
      </c>
      <c r="B5">
        <v>52</v>
      </c>
      <c r="C5" s="1" t="s">
        <v>727</v>
      </c>
      <c r="G5" s="212" t="s">
        <v>269</v>
      </c>
      <c r="I5" s="1" t="s">
        <v>676</v>
      </c>
    </row>
    <row r="6" spans="1:9" ht="30" x14ac:dyDescent="0.25">
      <c r="A6" s="331" t="s">
        <v>726</v>
      </c>
      <c r="B6">
        <v>68</v>
      </c>
      <c r="C6" s="1" t="s">
        <v>727</v>
      </c>
      <c r="G6" s="212" t="s">
        <v>270</v>
      </c>
      <c r="I6" s="1" t="s">
        <v>676</v>
      </c>
    </row>
    <row r="7" spans="1:9" ht="29.25" customHeight="1" x14ac:dyDescent="0.25">
      <c r="A7" s="331" t="s">
        <v>728</v>
      </c>
      <c r="B7" s="270">
        <v>93</v>
      </c>
      <c r="C7" s="1" t="s">
        <v>727</v>
      </c>
      <c r="G7" s="212" t="s">
        <v>271</v>
      </c>
      <c r="I7" s="1" t="s">
        <v>677</v>
      </c>
    </row>
    <row r="8" spans="1:9" ht="32.25" customHeight="1" x14ac:dyDescent="0.25">
      <c r="A8" s="331" t="s">
        <v>729</v>
      </c>
      <c r="B8" s="270">
        <v>111</v>
      </c>
      <c r="C8" s="1" t="s">
        <v>727</v>
      </c>
      <c r="G8" s="212" t="s">
        <v>272</v>
      </c>
      <c r="I8" s="1" t="s">
        <v>677</v>
      </c>
    </row>
    <row r="9" spans="1:9" ht="33" customHeight="1" x14ac:dyDescent="0.25">
      <c r="A9" s="331" t="s">
        <v>730</v>
      </c>
      <c r="B9" s="270">
        <v>133</v>
      </c>
      <c r="C9" s="1" t="s">
        <v>727</v>
      </c>
      <c r="G9" s="212" t="s">
        <v>273</v>
      </c>
      <c r="I9" s="1" t="s">
        <v>677</v>
      </c>
    </row>
    <row r="10" spans="1:9" ht="30.75" customHeight="1" x14ac:dyDescent="0.25">
      <c r="A10" s="331" t="s">
        <v>731</v>
      </c>
      <c r="B10">
        <v>146</v>
      </c>
      <c r="C10" s="169" t="s">
        <v>727</v>
      </c>
      <c r="G10" s="212" t="s">
        <v>274</v>
      </c>
      <c r="H10">
        <v>18543</v>
      </c>
      <c r="I10" s="1" t="s">
        <v>678</v>
      </c>
    </row>
    <row r="11" spans="1:9" ht="33" customHeight="1" x14ac:dyDescent="0.25">
      <c r="A11" s="331" t="s">
        <v>732</v>
      </c>
      <c r="B11">
        <v>62</v>
      </c>
      <c r="C11" s="1" t="s">
        <v>733</v>
      </c>
      <c r="G11" s="212" t="s">
        <v>275</v>
      </c>
      <c r="H11">
        <v>22338</v>
      </c>
      <c r="I11" s="1" t="s">
        <v>678</v>
      </c>
    </row>
    <row r="12" spans="1:9" ht="33" customHeight="1" x14ac:dyDescent="0.25">
      <c r="A12" s="331" t="s">
        <v>973</v>
      </c>
      <c r="B12" s="270">
        <v>77</v>
      </c>
      <c r="C12" s="1" t="s">
        <v>733</v>
      </c>
      <c r="G12" s="212" t="s">
        <v>276</v>
      </c>
      <c r="I12" s="1" t="s">
        <v>678</v>
      </c>
    </row>
    <row r="13" spans="1:9" ht="30" customHeight="1" x14ac:dyDescent="0.25">
      <c r="A13" s="331" t="s">
        <v>977</v>
      </c>
      <c r="B13">
        <v>95</v>
      </c>
      <c r="C13" s="169" t="s">
        <v>733</v>
      </c>
      <c r="G13" s="212" t="s">
        <v>277</v>
      </c>
      <c r="H13">
        <v>19780</v>
      </c>
      <c r="I13" s="1" t="s">
        <v>679</v>
      </c>
    </row>
    <row r="14" spans="1:9" ht="31.5" customHeight="1" x14ac:dyDescent="0.25">
      <c r="A14" s="331" t="s">
        <v>734</v>
      </c>
      <c r="B14">
        <v>114</v>
      </c>
      <c r="C14" s="169" t="s">
        <v>733</v>
      </c>
      <c r="G14" s="212" t="s">
        <v>278</v>
      </c>
      <c r="H14">
        <v>26135</v>
      </c>
      <c r="I14" s="1" t="s">
        <v>679</v>
      </c>
    </row>
    <row r="15" spans="1:9" ht="33.75" customHeight="1" x14ac:dyDescent="0.25">
      <c r="A15" s="331" t="s">
        <v>735</v>
      </c>
      <c r="B15" s="270">
        <v>137</v>
      </c>
      <c r="C15" s="169" t="s">
        <v>733</v>
      </c>
      <c r="G15" s="212" t="s">
        <v>279</v>
      </c>
      <c r="I15" s="1" t="s">
        <v>679</v>
      </c>
    </row>
    <row r="16" spans="1:9" ht="31.5" customHeight="1" x14ac:dyDescent="0.25">
      <c r="A16" s="331" t="s">
        <v>736</v>
      </c>
      <c r="B16" s="270">
        <v>153</v>
      </c>
      <c r="C16" s="169" t="s">
        <v>733</v>
      </c>
      <c r="G16" s="212" t="s">
        <v>280</v>
      </c>
      <c r="I16" s="1" t="s">
        <v>680</v>
      </c>
    </row>
    <row r="17" spans="1:9" ht="33" customHeight="1" x14ac:dyDescent="0.25">
      <c r="A17" s="331" t="s">
        <v>737</v>
      </c>
      <c r="B17">
        <v>57</v>
      </c>
      <c r="C17" s="169" t="s">
        <v>739</v>
      </c>
      <c r="G17" s="212" t="s">
        <v>281</v>
      </c>
      <c r="H17">
        <v>9448</v>
      </c>
      <c r="I17" s="1" t="s">
        <v>680</v>
      </c>
    </row>
    <row r="18" spans="1:9" ht="30" customHeight="1" x14ac:dyDescent="0.25">
      <c r="A18" s="331" t="s">
        <v>738</v>
      </c>
      <c r="B18">
        <v>78</v>
      </c>
      <c r="C18" s="169" t="s">
        <v>739</v>
      </c>
      <c r="G18" s="212" t="s">
        <v>282</v>
      </c>
      <c r="H18">
        <v>12540</v>
      </c>
      <c r="I18" s="1" t="s">
        <v>680</v>
      </c>
    </row>
    <row r="19" spans="1:9" ht="30" customHeight="1" x14ac:dyDescent="0.25">
      <c r="A19" s="331" t="s">
        <v>740</v>
      </c>
      <c r="B19">
        <v>96</v>
      </c>
      <c r="C19" s="169" t="s">
        <v>739</v>
      </c>
      <c r="G19" s="212" t="s">
        <v>283</v>
      </c>
      <c r="H19">
        <v>15013</v>
      </c>
      <c r="I19" s="1" t="s">
        <v>680</v>
      </c>
    </row>
    <row r="20" spans="1:9" ht="30" customHeight="1" x14ac:dyDescent="0.25">
      <c r="A20" s="331" t="s">
        <v>741</v>
      </c>
      <c r="B20">
        <v>116</v>
      </c>
      <c r="C20" s="169" t="s">
        <v>739</v>
      </c>
      <c r="G20" s="212" t="s">
        <v>284</v>
      </c>
      <c r="H20">
        <v>18015</v>
      </c>
      <c r="I20" s="1" t="s">
        <v>680</v>
      </c>
    </row>
    <row r="21" spans="1:9" ht="30" customHeight="1" x14ac:dyDescent="0.25">
      <c r="A21" s="331" t="s">
        <v>742</v>
      </c>
      <c r="B21">
        <v>140</v>
      </c>
      <c r="C21" s="169" t="s">
        <v>739</v>
      </c>
      <c r="G21" s="212" t="s">
        <v>285</v>
      </c>
      <c r="H21">
        <v>20220</v>
      </c>
      <c r="I21" s="1" t="s">
        <v>680</v>
      </c>
    </row>
    <row r="22" spans="1:9" ht="30" customHeight="1" x14ac:dyDescent="0.25">
      <c r="A22" s="331" t="s">
        <v>743</v>
      </c>
      <c r="B22" s="270">
        <v>162</v>
      </c>
      <c r="C22" s="169" t="s">
        <v>739</v>
      </c>
      <c r="G22" s="212" t="s">
        <v>286</v>
      </c>
      <c r="I22" s="1" t="s">
        <v>676</v>
      </c>
    </row>
    <row r="23" spans="1:9" ht="30" customHeight="1" x14ac:dyDescent="0.25">
      <c r="A23" s="331" t="s">
        <v>744</v>
      </c>
      <c r="B23" s="270">
        <v>70</v>
      </c>
      <c r="C23" s="169" t="s">
        <v>746</v>
      </c>
      <c r="G23" s="212" t="s">
        <v>287</v>
      </c>
      <c r="I23" s="1" t="s">
        <v>676</v>
      </c>
    </row>
    <row r="24" spans="1:9" ht="30" customHeight="1" x14ac:dyDescent="0.25">
      <c r="A24" s="331" t="s">
        <v>751</v>
      </c>
      <c r="B24" s="270">
        <v>84</v>
      </c>
      <c r="C24" s="169" t="s">
        <v>746</v>
      </c>
      <c r="G24" s="212" t="s">
        <v>288</v>
      </c>
      <c r="I24" s="1" t="s">
        <v>676</v>
      </c>
    </row>
    <row r="25" spans="1:9" ht="30" customHeight="1" x14ac:dyDescent="0.25">
      <c r="A25" s="331" t="s">
        <v>750</v>
      </c>
      <c r="B25" s="270">
        <v>107</v>
      </c>
      <c r="C25" s="169" t="s">
        <v>746</v>
      </c>
      <c r="G25" s="212" t="s">
        <v>289</v>
      </c>
      <c r="I25" s="1" t="s">
        <v>676</v>
      </c>
    </row>
    <row r="26" spans="1:9" ht="30" customHeight="1" x14ac:dyDescent="0.25">
      <c r="A26" s="331" t="s">
        <v>749</v>
      </c>
      <c r="B26" s="270">
        <v>128</v>
      </c>
      <c r="C26" s="169" t="s">
        <v>746</v>
      </c>
      <c r="G26" s="212" t="s">
        <v>290</v>
      </c>
      <c r="I26" s="1" t="s">
        <v>677</v>
      </c>
    </row>
    <row r="27" spans="1:9" ht="30" customHeight="1" x14ac:dyDescent="0.25">
      <c r="A27" s="331" t="s">
        <v>748</v>
      </c>
      <c r="B27">
        <v>153</v>
      </c>
      <c r="C27" s="169" t="s">
        <v>746</v>
      </c>
      <c r="G27" s="212" t="s">
        <v>291</v>
      </c>
      <c r="H27">
        <v>28800</v>
      </c>
      <c r="I27" s="1" t="s">
        <v>677</v>
      </c>
    </row>
    <row r="28" spans="1:9" ht="30" customHeight="1" x14ac:dyDescent="0.25">
      <c r="A28" s="331" t="s">
        <v>747</v>
      </c>
      <c r="B28">
        <v>169</v>
      </c>
      <c r="C28" s="169" t="s">
        <v>746</v>
      </c>
      <c r="G28" s="212" t="s">
        <v>292</v>
      </c>
      <c r="H28">
        <v>35170</v>
      </c>
      <c r="I28" s="1" t="s">
        <v>677</v>
      </c>
    </row>
    <row r="29" spans="1:9" ht="30" customHeight="1" x14ac:dyDescent="0.25">
      <c r="A29" s="331" t="s">
        <v>745</v>
      </c>
      <c r="C29" s="1"/>
      <c r="G29" s="212"/>
      <c r="I29" s="1"/>
    </row>
    <row r="30" spans="1:9" ht="30" customHeight="1" x14ac:dyDescent="0.25">
      <c r="A30" s="331"/>
      <c r="B30" s="270">
        <v>106</v>
      </c>
      <c r="C30" s="1" t="s">
        <v>753</v>
      </c>
      <c r="G30" s="212" t="s">
        <v>293</v>
      </c>
      <c r="I30" s="1" t="s">
        <v>677</v>
      </c>
    </row>
    <row r="31" spans="1:9" ht="30" customHeight="1" x14ac:dyDescent="0.25">
      <c r="A31" s="331" t="s">
        <v>752</v>
      </c>
      <c r="B31" s="270">
        <v>130</v>
      </c>
      <c r="C31" s="1" t="s">
        <v>753</v>
      </c>
      <c r="G31" s="212" t="s">
        <v>294</v>
      </c>
      <c r="I31" s="1" t="s">
        <v>678</v>
      </c>
    </row>
    <row r="32" spans="1:9" ht="30" customHeight="1" x14ac:dyDescent="0.25">
      <c r="A32" s="331" t="s">
        <v>754</v>
      </c>
      <c r="B32" s="270">
        <v>191</v>
      </c>
      <c r="C32" s="1" t="s">
        <v>753</v>
      </c>
      <c r="G32" s="212" t="s">
        <v>295</v>
      </c>
      <c r="I32" s="1" t="s">
        <v>678</v>
      </c>
    </row>
    <row r="33" spans="1:9" ht="30" customHeight="1" x14ac:dyDescent="0.25">
      <c r="A33" s="331" t="s">
        <v>755</v>
      </c>
      <c r="B33" s="270">
        <v>117</v>
      </c>
      <c r="C33" s="169" t="s">
        <v>759</v>
      </c>
      <c r="G33" s="212" t="s">
        <v>296</v>
      </c>
      <c r="I33" s="1" t="s">
        <v>678</v>
      </c>
    </row>
    <row r="34" spans="1:9" ht="30" customHeight="1" x14ac:dyDescent="0.25">
      <c r="A34" s="331" t="s">
        <v>756</v>
      </c>
      <c r="B34">
        <v>138</v>
      </c>
      <c r="C34" s="169" t="s">
        <v>759</v>
      </c>
      <c r="G34" s="212" t="s">
        <v>297</v>
      </c>
      <c r="H34">
        <v>30648</v>
      </c>
      <c r="I34" s="1" t="s">
        <v>678</v>
      </c>
    </row>
    <row r="35" spans="1:9" ht="30" customHeight="1" x14ac:dyDescent="0.25">
      <c r="A35" s="331" t="s">
        <v>757</v>
      </c>
      <c r="B35" s="270">
        <v>206</v>
      </c>
      <c r="C35" s="169" t="s">
        <v>759</v>
      </c>
      <c r="G35" s="212" t="s">
        <v>298</v>
      </c>
      <c r="I35" s="1" t="s">
        <v>678</v>
      </c>
    </row>
    <row r="36" spans="1:9" ht="30" customHeight="1" x14ac:dyDescent="0.25">
      <c r="A36" s="331" t="s">
        <v>758</v>
      </c>
      <c r="B36" s="270">
        <v>134</v>
      </c>
      <c r="C36" s="169" t="s">
        <v>763</v>
      </c>
      <c r="G36" s="212" t="s">
        <v>299</v>
      </c>
      <c r="I36" s="1" t="s">
        <v>679</v>
      </c>
    </row>
    <row r="37" spans="1:9" ht="30" customHeight="1" x14ac:dyDescent="0.25">
      <c r="A37" s="331" t="s">
        <v>760</v>
      </c>
      <c r="B37" s="270">
        <v>159</v>
      </c>
      <c r="C37" s="169" t="s">
        <v>763</v>
      </c>
      <c r="G37" s="212" t="s">
        <v>300</v>
      </c>
      <c r="I37" s="1" t="s">
        <v>679</v>
      </c>
    </row>
    <row r="38" spans="1:9" ht="30" x14ac:dyDescent="0.25">
      <c r="A38" s="331" t="s">
        <v>761</v>
      </c>
      <c r="B38">
        <v>202</v>
      </c>
      <c r="C38" s="169" t="s">
        <v>763</v>
      </c>
      <c r="G38" s="212" t="s">
        <v>301</v>
      </c>
      <c r="H38">
        <v>33230</v>
      </c>
      <c r="I38" s="1" t="s">
        <v>679</v>
      </c>
    </row>
    <row r="39" spans="1:9" ht="30" x14ac:dyDescent="0.25">
      <c r="A39" s="331" t="s">
        <v>762</v>
      </c>
      <c r="B39" s="270">
        <v>140</v>
      </c>
      <c r="C39" s="169" t="s">
        <v>767</v>
      </c>
      <c r="G39" s="212" t="s">
        <v>302</v>
      </c>
      <c r="I39" s="1" t="s">
        <v>679</v>
      </c>
    </row>
    <row r="40" spans="1:9" ht="30" x14ac:dyDescent="0.25">
      <c r="A40" s="331" t="s">
        <v>764</v>
      </c>
      <c r="B40" s="270">
        <v>179</v>
      </c>
      <c r="C40" s="169" t="s">
        <v>767</v>
      </c>
      <c r="G40" s="212" t="s">
        <v>303</v>
      </c>
      <c r="I40" s="1" t="s">
        <v>680</v>
      </c>
    </row>
    <row r="41" spans="1:9" ht="30" x14ac:dyDescent="0.25">
      <c r="A41" s="331" t="s">
        <v>765</v>
      </c>
      <c r="B41" s="270">
        <v>217</v>
      </c>
      <c r="C41" s="169" t="s">
        <v>767</v>
      </c>
      <c r="G41" s="212" t="s">
        <v>304</v>
      </c>
      <c r="I41" s="1" t="s">
        <v>680</v>
      </c>
    </row>
    <row r="42" spans="1:9" x14ac:dyDescent="0.25">
      <c r="A42" s="331" t="s">
        <v>766</v>
      </c>
      <c r="B42" s="270"/>
      <c r="C42" s="169"/>
      <c r="G42" s="224"/>
      <c r="I42" s="1"/>
    </row>
    <row r="43" spans="1:9" ht="30" customHeight="1" x14ac:dyDescent="0.25">
      <c r="A43" s="331" t="s">
        <v>768</v>
      </c>
      <c r="B43" s="270">
        <v>95</v>
      </c>
      <c r="C43" s="169" t="s">
        <v>769</v>
      </c>
      <c r="G43" s="224" t="s">
        <v>681</v>
      </c>
      <c r="I43" s="1" t="s">
        <v>680</v>
      </c>
    </row>
    <row r="44" spans="1:9" ht="30" customHeight="1" x14ac:dyDescent="0.25">
      <c r="A44" s="1" t="s">
        <v>770</v>
      </c>
      <c r="B44" s="270">
        <v>110</v>
      </c>
      <c r="C44" s="169" t="s">
        <v>769</v>
      </c>
      <c r="G44" s="224" t="s">
        <v>407</v>
      </c>
    </row>
    <row r="45" spans="1:9" ht="30" customHeight="1" x14ac:dyDescent="0.25">
      <c r="A45" s="271" t="s">
        <v>771</v>
      </c>
      <c r="B45" s="270">
        <v>141</v>
      </c>
      <c r="C45" s="169" t="s">
        <v>769</v>
      </c>
      <c r="G45" s="211" t="s">
        <v>406</v>
      </c>
    </row>
    <row r="46" spans="1:9" ht="30" customHeight="1" x14ac:dyDescent="0.25">
      <c r="A46" s="331" t="s">
        <v>772</v>
      </c>
      <c r="B46">
        <v>201</v>
      </c>
      <c r="C46" s="169" t="s">
        <v>769</v>
      </c>
    </row>
    <row r="47" spans="1:9" ht="30" customHeight="1" x14ac:dyDescent="0.25">
      <c r="A47" s="51" t="s">
        <v>972</v>
      </c>
      <c r="B47" s="51">
        <v>99</v>
      </c>
      <c r="C47" s="169" t="s">
        <v>775</v>
      </c>
      <c r="D47" s="270"/>
      <c r="E47" s="270"/>
      <c r="F47" s="270"/>
      <c r="G47" s="270"/>
      <c r="H47" s="270"/>
      <c r="I47" s="270"/>
    </row>
    <row r="48" spans="1:9" ht="30" customHeight="1" thickBot="1" x14ac:dyDescent="0.3">
      <c r="A48" s="210" t="s">
        <v>975</v>
      </c>
      <c r="B48" s="210">
        <v>110</v>
      </c>
      <c r="C48" s="169" t="s">
        <v>775</v>
      </c>
      <c r="D48" s="270"/>
      <c r="E48" s="270"/>
      <c r="F48" s="270"/>
      <c r="G48" s="270"/>
      <c r="H48" s="270"/>
      <c r="I48" s="270"/>
    </row>
    <row r="49" spans="1:25" ht="30" customHeight="1" x14ac:dyDescent="0.3">
      <c r="A49" s="273" t="s">
        <v>773</v>
      </c>
      <c r="B49" s="223">
        <v>145</v>
      </c>
      <c r="C49" s="169" t="s">
        <v>775</v>
      </c>
      <c r="D49" s="259"/>
      <c r="E49" s="259"/>
      <c r="F49" s="259"/>
      <c r="G49" s="259"/>
      <c r="H49" s="259"/>
      <c r="I49" s="260"/>
      <c r="J49" s="545" t="s">
        <v>266</v>
      </c>
      <c r="K49" s="545"/>
      <c r="L49" s="545"/>
      <c r="M49" s="545"/>
      <c r="N49" s="545"/>
      <c r="O49" s="545"/>
      <c r="P49" s="545"/>
      <c r="Q49" s="548">
        <v>0</v>
      </c>
      <c r="R49" s="50" t="s">
        <v>349</v>
      </c>
      <c r="S49" s="50">
        <f>S26+1</f>
        <v>1</v>
      </c>
      <c r="T49" s="50" t="s">
        <v>206</v>
      </c>
      <c r="U49" s="510">
        <f>U48+1</f>
        <v>1</v>
      </c>
    </row>
    <row r="50" spans="1:25" ht="30" customHeight="1" thickBot="1" x14ac:dyDescent="0.35">
      <c r="A50" s="273" t="s">
        <v>774</v>
      </c>
      <c r="B50" s="274">
        <v>222</v>
      </c>
      <c r="C50" s="169" t="s">
        <v>775</v>
      </c>
      <c r="D50" s="261"/>
      <c r="E50" s="261"/>
      <c r="F50" s="261"/>
      <c r="G50" s="261"/>
      <c r="H50" s="261"/>
      <c r="I50" s="262"/>
      <c r="J50" s="546"/>
      <c r="K50" s="547"/>
      <c r="L50" s="547"/>
      <c r="M50" s="547"/>
      <c r="N50" s="547"/>
      <c r="O50" s="547"/>
      <c r="P50" s="162" t="s">
        <v>345</v>
      </c>
      <c r="Q50" s="503"/>
      <c r="R50" s="50"/>
      <c r="S50" s="50"/>
      <c r="T50" s="50"/>
      <c r="U50" s="510"/>
      <c r="X50">
        <v>0</v>
      </c>
      <c r="Y50">
        <v>0</v>
      </c>
    </row>
    <row r="51" spans="1:25" ht="30" customHeight="1" x14ac:dyDescent="0.3">
      <c r="A51" s="276" t="s">
        <v>776</v>
      </c>
      <c r="B51" s="274">
        <v>112</v>
      </c>
      <c r="C51" s="275" t="s">
        <v>777</v>
      </c>
      <c r="D51" s="272"/>
      <c r="E51" s="263"/>
      <c r="F51" s="263"/>
      <c r="G51" s="263"/>
      <c r="H51" s="263"/>
      <c r="I51" s="263"/>
      <c r="J51" s="538" t="s">
        <v>308</v>
      </c>
      <c r="K51" s="538"/>
      <c r="L51" s="538"/>
      <c r="M51" s="538"/>
      <c r="N51" s="538"/>
      <c r="O51" s="538"/>
      <c r="P51" s="538"/>
      <c r="Q51" s="157">
        <v>0</v>
      </c>
      <c r="R51" s="50" t="s">
        <v>349</v>
      </c>
      <c r="S51" s="50">
        <f>S27+1</f>
        <v>1</v>
      </c>
      <c r="T51" s="50" t="s">
        <v>206</v>
      </c>
      <c r="U51" s="50">
        <f>U49+1</f>
        <v>2</v>
      </c>
      <c r="X51">
        <v>24</v>
      </c>
      <c r="Y51">
        <v>0</v>
      </c>
    </row>
    <row r="52" spans="1:25" s="154" customFormat="1" ht="30" customHeight="1" x14ac:dyDescent="0.3">
      <c r="A52" s="276" t="s">
        <v>778</v>
      </c>
      <c r="B52" s="274">
        <v>126</v>
      </c>
      <c r="C52" s="275" t="s">
        <v>777</v>
      </c>
      <c r="D52" s="264"/>
      <c r="E52" s="264"/>
      <c r="F52" s="264"/>
      <c r="G52" s="264"/>
      <c r="H52" s="264"/>
      <c r="I52" s="265"/>
      <c r="J52" s="529" t="s">
        <v>351</v>
      </c>
      <c r="K52" s="536"/>
      <c r="L52" s="536"/>
      <c r="M52" s="530"/>
      <c r="N52" s="529"/>
      <c r="O52" s="530"/>
      <c r="P52" s="155" t="s">
        <v>345</v>
      </c>
      <c r="Q52" s="501">
        <v>1</v>
      </c>
      <c r="R52" s="50" t="s">
        <v>349</v>
      </c>
      <c r="S52" s="50">
        <f>S26+1</f>
        <v>1</v>
      </c>
      <c r="T52" s="50" t="s">
        <v>206</v>
      </c>
      <c r="U52" s="510">
        <f>U51+1</f>
        <v>3</v>
      </c>
      <c r="X52" s="154">
        <v>220</v>
      </c>
      <c r="Y52" s="144">
        <v>1</v>
      </c>
    </row>
    <row r="53" spans="1:25" s="154" customFormat="1" ht="30" customHeight="1" x14ac:dyDescent="0.3">
      <c r="A53" s="276" t="s">
        <v>779</v>
      </c>
      <c r="B53" s="274">
        <v>199</v>
      </c>
      <c r="C53" s="275" t="s">
        <v>777</v>
      </c>
      <c r="D53" s="266"/>
      <c r="E53" s="266"/>
      <c r="F53" s="266"/>
      <c r="G53" s="266"/>
      <c r="H53" s="266"/>
      <c r="I53" s="267"/>
      <c r="J53" s="529" t="s">
        <v>352</v>
      </c>
      <c r="K53" s="536"/>
      <c r="L53" s="536"/>
      <c r="M53" s="530"/>
      <c r="N53" s="529"/>
      <c r="O53" s="530"/>
      <c r="P53" s="155" t="s">
        <v>20</v>
      </c>
      <c r="Q53" s="502"/>
      <c r="R53" s="50"/>
      <c r="S53" s="50"/>
      <c r="T53" s="50"/>
      <c r="U53" s="510"/>
      <c r="X53" s="154">
        <v>230</v>
      </c>
      <c r="Y53" s="154">
        <v>1</v>
      </c>
    </row>
    <row r="54" spans="1:25" s="154" customFormat="1" ht="33" customHeight="1" thickBot="1" x14ac:dyDescent="0.35">
      <c r="A54" s="276" t="s">
        <v>780</v>
      </c>
      <c r="B54" s="274">
        <v>211</v>
      </c>
      <c r="C54" s="275" t="s">
        <v>777</v>
      </c>
      <c r="D54" s="268"/>
      <c r="E54" s="268"/>
      <c r="F54" s="268"/>
      <c r="G54" s="268"/>
      <c r="H54" s="268"/>
      <c r="I54" s="269"/>
      <c r="J54" s="526"/>
      <c r="K54" s="527"/>
      <c r="L54" s="527"/>
      <c r="M54" s="527"/>
      <c r="N54" s="527"/>
      <c r="O54" s="527"/>
      <c r="P54" s="528"/>
      <c r="Q54" s="503"/>
      <c r="R54" s="50"/>
      <c r="S54" s="50"/>
      <c r="T54" s="50"/>
      <c r="U54" s="510"/>
      <c r="X54" s="154">
        <v>380</v>
      </c>
      <c r="Y54" s="154">
        <v>3</v>
      </c>
    </row>
    <row r="55" spans="1:25" ht="50.1" customHeight="1" thickBot="1" x14ac:dyDescent="0.3">
      <c r="A55" s="165" t="str">
        <f t="shared" ref="A55:A65" si="0">R56&amp;U56&amp;T56</f>
        <v>5.1.5.</v>
      </c>
      <c r="B55" s="541" t="s">
        <v>305</v>
      </c>
      <c r="C55" s="541"/>
      <c r="D55" s="542"/>
      <c r="E55" s="542"/>
      <c r="F55" s="542"/>
      <c r="G55" s="542"/>
      <c r="H55" s="542"/>
      <c r="I55" s="542"/>
      <c r="J55" s="542"/>
      <c r="K55" s="542"/>
      <c r="L55" s="542"/>
      <c r="M55" s="542"/>
      <c r="N55" s="542"/>
      <c r="O55" s="542"/>
      <c r="P55" s="542"/>
      <c r="Q55" s="167">
        <v>1</v>
      </c>
      <c r="R55" s="50" t="s">
        <v>349</v>
      </c>
      <c r="S55" s="50">
        <f>S27+1</f>
        <v>1</v>
      </c>
      <c r="T55" s="50" t="s">
        <v>206</v>
      </c>
      <c r="U55" s="50">
        <f>U52+1</f>
        <v>4</v>
      </c>
      <c r="X55" s="154">
        <v>400</v>
      </c>
      <c r="Y55">
        <v>3</v>
      </c>
    </row>
    <row r="56" spans="1:25" ht="50.1" customHeight="1" x14ac:dyDescent="0.25">
      <c r="A56" s="159" t="str">
        <f t="shared" si="0"/>
        <v>5.1.6.</v>
      </c>
      <c r="B56" s="543" t="s">
        <v>306</v>
      </c>
      <c r="C56" s="543"/>
      <c r="D56" s="543"/>
      <c r="E56" s="543"/>
      <c r="F56" s="543"/>
      <c r="G56" s="543"/>
      <c r="H56" s="543"/>
      <c r="I56" s="543"/>
      <c r="J56" s="544" t="s">
        <v>266</v>
      </c>
      <c r="K56" s="544"/>
      <c r="L56" s="544"/>
      <c r="M56" s="544"/>
      <c r="N56" s="544"/>
      <c r="O56" s="544"/>
      <c r="P56" s="544"/>
      <c r="Q56" s="166">
        <v>0</v>
      </c>
      <c r="R56" s="50" t="s">
        <v>349</v>
      </c>
      <c r="S56" s="50">
        <f>S28+1</f>
        <v>1</v>
      </c>
      <c r="T56" s="50" t="s">
        <v>206</v>
      </c>
      <c r="U56" s="50">
        <f t="shared" ref="U56:U65" si="1">U55+1</f>
        <v>5</v>
      </c>
    </row>
    <row r="57" spans="1:25" ht="50.1" customHeight="1" x14ac:dyDescent="0.25">
      <c r="A57" s="159" t="str">
        <f t="shared" si="0"/>
        <v>4.1.7.</v>
      </c>
      <c r="B57" s="534" t="s">
        <v>265</v>
      </c>
      <c r="C57" s="534"/>
      <c r="D57" s="534"/>
      <c r="E57" s="534"/>
      <c r="F57" s="534"/>
      <c r="G57" s="534"/>
      <c r="H57" s="534"/>
      <c r="I57" s="534"/>
      <c r="J57" s="535" t="s">
        <v>266</v>
      </c>
      <c r="K57" s="535"/>
      <c r="L57" s="535"/>
      <c r="M57" s="535"/>
      <c r="N57" s="535"/>
      <c r="O57" s="535"/>
      <c r="P57" s="535"/>
      <c r="Q57" s="160">
        <v>0</v>
      </c>
      <c r="R57" s="50" t="s">
        <v>349</v>
      </c>
      <c r="S57" s="50">
        <f>S29+1</f>
        <v>1</v>
      </c>
      <c r="T57" s="50" t="s">
        <v>206</v>
      </c>
      <c r="U57" s="50">
        <f t="shared" si="1"/>
        <v>6</v>
      </c>
    </row>
    <row r="58" spans="1:25" ht="50.1" customHeight="1" x14ac:dyDescent="0.25">
      <c r="A58" s="159" t="str">
        <f t="shared" si="0"/>
        <v>5.1.8.</v>
      </c>
      <c r="B58" s="534" t="s">
        <v>350</v>
      </c>
      <c r="C58" s="534"/>
      <c r="D58" s="534"/>
      <c r="E58" s="534"/>
      <c r="F58" s="534"/>
      <c r="G58" s="534"/>
      <c r="H58" s="534"/>
      <c r="I58" s="534"/>
      <c r="J58" s="535" t="s">
        <v>321</v>
      </c>
      <c r="K58" s="535"/>
      <c r="L58" s="535"/>
      <c r="M58" s="535"/>
      <c r="N58" s="535"/>
      <c r="O58" s="535"/>
      <c r="P58" s="535"/>
      <c r="Q58" s="160">
        <v>0</v>
      </c>
      <c r="R58" s="50" t="s">
        <v>205</v>
      </c>
      <c r="S58" s="50">
        <f>S28+1</f>
        <v>1</v>
      </c>
      <c r="T58" s="50" t="s">
        <v>206</v>
      </c>
      <c r="U58" s="50">
        <f t="shared" si="1"/>
        <v>7</v>
      </c>
    </row>
    <row r="59" spans="1:25" ht="50.1" customHeight="1" x14ac:dyDescent="0.25">
      <c r="A59" s="511" t="str">
        <f>R60&amp;U60&amp;T60</f>
        <v>5.1.9.</v>
      </c>
      <c r="B59" s="534" t="s">
        <v>347</v>
      </c>
      <c r="C59" s="534"/>
      <c r="D59" s="534"/>
      <c r="E59" s="534"/>
      <c r="F59" s="534"/>
      <c r="G59" s="534"/>
      <c r="H59" s="534"/>
      <c r="I59" s="534"/>
      <c r="J59" s="535" t="s">
        <v>316</v>
      </c>
      <c r="K59" s="535"/>
      <c r="L59" s="535"/>
      <c r="M59" s="535"/>
      <c r="N59" s="535"/>
      <c r="O59" s="535"/>
      <c r="P59" s="535"/>
      <c r="Q59" s="160">
        <v>0</v>
      </c>
      <c r="R59" s="50" t="s">
        <v>349</v>
      </c>
      <c r="S59" s="50">
        <f>S29+1</f>
        <v>1</v>
      </c>
      <c r="T59" s="50" t="s">
        <v>206</v>
      </c>
      <c r="U59" s="50">
        <f>U58+1</f>
        <v>8</v>
      </c>
    </row>
    <row r="60" spans="1:25" s="154" customFormat="1" ht="16.5" customHeight="1" x14ac:dyDescent="0.25">
      <c r="A60" s="512"/>
      <c r="B60" s="531" t="s">
        <v>353</v>
      </c>
      <c r="C60" s="532"/>
      <c r="D60" s="532"/>
      <c r="E60" s="532"/>
      <c r="F60" s="532"/>
      <c r="G60" s="532"/>
      <c r="H60" s="532"/>
      <c r="I60" s="533"/>
      <c r="J60" s="504" t="s">
        <v>354</v>
      </c>
      <c r="K60" s="505"/>
      <c r="L60" s="505"/>
      <c r="M60" s="506"/>
      <c r="N60" s="504"/>
      <c r="O60" s="506"/>
      <c r="P60" s="163" t="s">
        <v>345</v>
      </c>
      <c r="Q60" s="501">
        <v>0</v>
      </c>
      <c r="R60" s="50" t="s">
        <v>349</v>
      </c>
      <c r="S60" s="50">
        <f>S29+1</f>
        <v>1</v>
      </c>
      <c r="T60" s="50" t="s">
        <v>206</v>
      </c>
      <c r="U60" s="510">
        <f>U59+1</f>
        <v>9</v>
      </c>
    </row>
    <row r="61" spans="1:25" s="154" customFormat="1" ht="16.5" customHeight="1" thickBot="1" x14ac:dyDescent="0.3">
      <c r="A61" s="513"/>
      <c r="B61" s="516"/>
      <c r="C61" s="517"/>
      <c r="D61" s="517"/>
      <c r="E61" s="517"/>
      <c r="F61" s="517"/>
      <c r="G61" s="517"/>
      <c r="H61" s="517"/>
      <c r="I61" s="521"/>
      <c r="J61" s="504" t="s">
        <v>355</v>
      </c>
      <c r="K61" s="505"/>
      <c r="L61" s="505"/>
      <c r="M61" s="506"/>
      <c r="N61" s="504"/>
      <c r="O61" s="506"/>
      <c r="P61" s="163" t="s">
        <v>20</v>
      </c>
      <c r="Q61" s="502"/>
      <c r="R61" s="50"/>
      <c r="S61" s="50"/>
      <c r="T61" s="50"/>
      <c r="U61" s="510"/>
    </row>
    <row r="62" spans="1:25" s="154" customFormat="1" ht="16.5" customHeight="1" thickBot="1" x14ac:dyDescent="0.3">
      <c r="A62" s="156" t="str">
        <f t="shared" si="0"/>
        <v>5.1.10.</v>
      </c>
      <c r="B62" s="518"/>
      <c r="C62" s="519"/>
      <c r="D62" s="519"/>
      <c r="E62" s="519"/>
      <c r="F62" s="519"/>
      <c r="G62" s="519"/>
      <c r="H62" s="519"/>
      <c r="I62" s="522"/>
      <c r="J62" s="507" t="s">
        <v>356</v>
      </c>
      <c r="K62" s="508"/>
      <c r="L62" s="508"/>
      <c r="M62" s="509"/>
      <c r="N62" s="507"/>
      <c r="O62" s="509"/>
      <c r="P62" s="164" t="s">
        <v>357</v>
      </c>
      <c r="Q62" s="503"/>
      <c r="R62" s="50"/>
      <c r="S62" s="50"/>
      <c r="T62" s="50"/>
      <c r="U62" s="510"/>
    </row>
    <row r="63" spans="1:25" ht="50.1" customHeight="1" x14ac:dyDescent="0.25">
      <c r="A63" s="159" t="str">
        <f t="shared" si="0"/>
        <v>5.1.11.</v>
      </c>
      <c r="B63" s="537" t="s">
        <v>307</v>
      </c>
      <c r="C63" s="537"/>
      <c r="D63" s="537"/>
      <c r="E63" s="537"/>
      <c r="F63" s="537"/>
      <c r="G63" s="537"/>
      <c r="H63" s="537"/>
      <c r="I63" s="537"/>
      <c r="J63" s="538" t="s">
        <v>308</v>
      </c>
      <c r="K63" s="538"/>
      <c r="L63" s="538"/>
      <c r="M63" s="538"/>
      <c r="N63" s="538"/>
      <c r="O63" s="538"/>
      <c r="P63" s="538"/>
      <c r="Q63" s="157">
        <v>0</v>
      </c>
      <c r="R63" s="50" t="s">
        <v>349</v>
      </c>
      <c r="S63" s="50">
        <f>S30+1</f>
        <v>1</v>
      </c>
      <c r="T63" s="50" t="s">
        <v>206</v>
      </c>
      <c r="U63" s="50">
        <f>U60+1</f>
        <v>10</v>
      </c>
      <c r="X63" s="201" t="s">
        <v>393</v>
      </c>
    </row>
    <row r="64" spans="1:25" ht="50.1" customHeight="1" thickBot="1" x14ac:dyDescent="0.3">
      <c r="A64" s="161" t="str">
        <f t="shared" si="0"/>
        <v>5.1.12.</v>
      </c>
      <c r="B64" s="534" t="s">
        <v>344</v>
      </c>
      <c r="C64" s="534"/>
      <c r="D64" s="534"/>
      <c r="E64" s="534"/>
      <c r="F64" s="534"/>
      <c r="G64" s="534"/>
      <c r="H64" s="534"/>
      <c r="I64" s="534"/>
      <c r="J64" s="535" t="s">
        <v>320</v>
      </c>
      <c r="K64" s="535"/>
      <c r="L64" s="535"/>
      <c r="M64" s="535"/>
      <c r="N64" s="535"/>
      <c r="O64" s="535"/>
      <c r="P64" s="535"/>
      <c r="Q64" s="160">
        <v>0</v>
      </c>
      <c r="R64" s="50" t="s">
        <v>349</v>
      </c>
      <c r="S64" s="50">
        <f>S31+1</f>
        <v>1</v>
      </c>
      <c r="T64" s="50" t="s">
        <v>206</v>
      </c>
      <c r="U64" s="50">
        <f t="shared" si="1"/>
        <v>11</v>
      </c>
      <c r="X64" s="201" t="s">
        <v>394</v>
      </c>
    </row>
    <row r="65" spans="1:24" ht="50.1" customHeight="1" thickBot="1" x14ac:dyDescent="0.3">
      <c r="A65" s="511" t="str">
        <f t="shared" si="0"/>
        <v>5.1.13.</v>
      </c>
      <c r="B65" s="539" t="s">
        <v>346</v>
      </c>
      <c r="C65" s="539"/>
      <c r="D65" s="539"/>
      <c r="E65" s="539"/>
      <c r="F65" s="539"/>
      <c r="G65" s="539"/>
      <c r="H65" s="539"/>
      <c r="I65" s="539"/>
      <c r="J65" s="540" t="s">
        <v>316</v>
      </c>
      <c r="K65" s="540"/>
      <c r="L65" s="540"/>
      <c r="M65" s="540"/>
      <c r="N65" s="540"/>
      <c r="O65" s="540"/>
      <c r="P65" s="540"/>
      <c r="Q65" s="158">
        <v>0</v>
      </c>
      <c r="R65" s="50" t="s">
        <v>349</v>
      </c>
      <c r="S65" s="50">
        <f>S32+1</f>
        <v>1</v>
      </c>
      <c r="T65" s="50" t="s">
        <v>206</v>
      </c>
      <c r="U65" s="50">
        <f t="shared" si="1"/>
        <v>12</v>
      </c>
      <c r="X65" s="201" t="s">
        <v>395</v>
      </c>
    </row>
    <row r="66" spans="1:24" ht="16.5" customHeight="1" x14ac:dyDescent="0.25">
      <c r="A66" s="512"/>
      <c r="B66" s="531" t="s">
        <v>348</v>
      </c>
      <c r="C66" s="532"/>
      <c r="D66" s="532"/>
      <c r="E66" s="532"/>
      <c r="F66" s="532"/>
      <c r="G66" s="532"/>
      <c r="H66" s="532"/>
      <c r="I66" s="533"/>
      <c r="J66" s="529" t="s">
        <v>351</v>
      </c>
      <c r="K66" s="536"/>
      <c r="L66" s="536"/>
      <c r="M66" s="530"/>
      <c r="N66" s="529"/>
      <c r="O66" s="530"/>
      <c r="P66" s="155" t="s">
        <v>345</v>
      </c>
      <c r="Q66" s="501">
        <v>1</v>
      </c>
      <c r="R66" s="50" t="s">
        <v>349</v>
      </c>
      <c r="S66" s="50">
        <f>S40+1</f>
        <v>1</v>
      </c>
      <c r="T66" s="50" t="s">
        <v>206</v>
      </c>
      <c r="U66" s="510">
        <f>U65+1</f>
        <v>13</v>
      </c>
      <c r="X66" s="201" t="s">
        <v>396</v>
      </c>
    </row>
    <row r="67" spans="1:24" ht="16.5" customHeight="1" thickBot="1" x14ac:dyDescent="0.3">
      <c r="A67" s="513"/>
      <c r="B67" s="516"/>
      <c r="C67" s="517"/>
      <c r="D67" s="517"/>
      <c r="E67" s="517"/>
      <c r="F67" s="517"/>
      <c r="G67" s="517"/>
      <c r="H67" s="517"/>
      <c r="I67" s="521"/>
      <c r="J67" s="529" t="s">
        <v>352</v>
      </c>
      <c r="K67" s="536"/>
      <c r="L67" s="536"/>
      <c r="M67" s="530"/>
      <c r="N67" s="529"/>
      <c r="O67" s="530"/>
      <c r="P67" s="155" t="s">
        <v>20</v>
      </c>
      <c r="Q67" s="502"/>
      <c r="R67" s="50"/>
      <c r="S67" s="50"/>
      <c r="T67" s="50"/>
      <c r="U67" s="510"/>
      <c r="X67" s="351" t="s">
        <v>959</v>
      </c>
    </row>
    <row r="68" spans="1:24" ht="33" customHeight="1" thickBot="1" x14ac:dyDescent="0.3">
      <c r="A68" s="511" t="str">
        <f>R69&amp;U69&amp;T69</f>
        <v>5.1.14.</v>
      </c>
      <c r="B68" s="523" t="s">
        <v>358</v>
      </c>
      <c r="C68" s="524"/>
      <c r="D68" s="524"/>
      <c r="E68" s="524"/>
      <c r="F68" s="524"/>
      <c r="G68" s="524"/>
      <c r="H68" s="524"/>
      <c r="I68" s="525"/>
      <c r="J68" s="526"/>
      <c r="K68" s="527"/>
      <c r="L68" s="527"/>
      <c r="M68" s="527"/>
      <c r="N68" s="527"/>
      <c r="O68" s="527"/>
      <c r="P68" s="528"/>
      <c r="Q68" s="503"/>
      <c r="R68" s="50"/>
      <c r="S68" s="50"/>
      <c r="T68" s="50"/>
      <c r="U68" s="510"/>
      <c r="X68" s="154" t="s">
        <v>360</v>
      </c>
    </row>
    <row r="69" spans="1:24" ht="16.5" customHeight="1" x14ac:dyDescent="0.25">
      <c r="A69" s="512"/>
      <c r="B69" s="514" t="s">
        <v>359</v>
      </c>
      <c r="C69" s="515"/>
      <c r="D69" s="515"/>
      <c r="E69" s="515"/>
      <c r="F69" s="515" t="s">
        <v>360</v>
      </c>
      <c r="G69" s="515"/>
      <c r="H69" s="515"/>
      <c r="I69" s="520"/>
      <c r="J69" s="504" t="s">
        <v>354</v>
      </c>
      <c r="K69" s="505"/>
      <c r="L69" s="505"/>
      <c r="M69" s="506"/>
      <c r="N69" s="504"/>
      <c r="O69" s="506"/>
      <c r="P69" s="163" t="s">
        <v>345</v>
      </c>
      <c r="Q69" s="501">
        <v>0</v>
      </c>
      <c r="R69" s="50" t="s">
        <v>349</v>
      </c>
      <c r="S69" s="50">
        <f>S38+1</f>
        <v>1</v>
      </c>
      <c r="T69" s="50" t="s">
        <v>206</v>
      </c>
      <c r="U69" s="510">
        <f>U66+1</f>
        <v>14</v>
      </c>
      <c r="X69" s="154" t="s">
        <v>390</v>
      </c>
    </row>
    <row r="70" spans="1:24" ht="17.25" thickBot="1" x14ac:dyDescent="0.3">
      <c r="A70" s="513"/>
      <c r="B70" s="516"/>
      <c r="C70" s="517"/>
      <c r="D70" s="517"/>
      <c r="E70" s="517"/>
      <c r="F70" s="517"/>
      <c r="G70" s="517"/>
      <c r="H70" s="517"/>
      <c r="I70" s="521"/>
      <c r="J70" s="504" t="s">
        <v>355</v>
      </c>
      <c r="K70" s="505"/>
      <c r="L70" s="505"/>
      <c r="M70" s="506"/>
      <c r="N70" s="504"/>
      <c r="O70" s="506"/>
      <c r="P70" s="163" t="s">
        <v>20</v>
      </c>
      <c r="Q70" s="502"/>
      <c r="R70" s="50"/>
      <c r="S70" s="50"/>
      <c r="T70" s="50"/>
      <c r="U70" s="510"/>
      <c r="X70" s="154" t="s">
        <v>391</v>
      </c>
    </row>
    <row r="71" spans="1:24" ht="17.25" thickBot="1" x14ac:dyDescent="0.3">
      <c r="A71" s="511" t="str">
        <f>R72&amp;U72&amp;T72</f>
        <v>5.1.15.</v>
      </c>
      <c r="B71" s="518"/>
      <c r="C71" s="519"/>
      <c r="D71" s="519"/>
      <c r="E71" s="519"/>
      <c r="F71" s="519"/>
      <c r="G71" s="519"/>
      <c r="H71" s="519"/>
      <c r="I71" s="522"/>
      <c r="J71" s="507" t="s">
        <v>356</v>
      </c>
      <c r="K71" s="508"/>
      <c r="L71" s="508"/>
      <c r="M71" s="509"/>
      <c r="N71" s="507"/>
      <c r="O71" s="509"/>
      <c r="P71" s="164" t="s">
        <v>357</v>
      </c>
      <c r="Q71" s="503"/>
      <c r="R71" s="50"/>
      <c r="S71" s="50"/>
      <c r="T71" s="50"/>
      <c r="U71" s="510"/>
      <c r="X71" s="154" t="s">
        <v>392</v>
      </c>
    </row>
    <row r="72" spans="1:24" ht="16.5" x14ac:dyDescent="0.25">
      <c r="A72" s="512"/>
      <c r="B72" s="514" t="s">
        <v>361</v>
      </c>
      <c r="C72" s="515"/>
      <c r="D72" s="515"/>
      <c r="E72" s="515"/>
      <c r="F72" s="515" t="s">
        <v>360</v>
      </c>
      <c r="G72" s="515"/>
      <c r="H72" s="515"/>
      <c r="I72" s="520"/>
      <c r="J72" s="504" t="s">
        <v>354</v>
      </c>
      <c r="K72" s="505"/>
      <c r="L72" s="505"/>
      <c r="M72" s="506"/>
      <c r="N72" s="504"/>
      <c r="O72" s="506"/>
      <c r="P72" s="163" t="s">
        <v>345</v>
      </c>
      <c r="Q72" s="501">
        <v>0</v>
      </c>
      <c r="R72" s="50" t="s">
        <v>349</v>
      </c>
      <c r="S72" s="50">
        <f>S41+1</f>
        <v>1</v>
      </c>
      <c r="T72" s="50" t="s">
        <v>206</v>
      </c>
      <c r="U72" s="510">
        <f>U69+1</f>
        <v>15</v>
      </c>
      <c r="X72" t="s">
        <v>959</v>
      </c>
    </row>
    <row r="73" spans="1:24" ht="17.25" thickBot="1" x14ac:dyDescent="0.3">
      <c r="A73" s="513"/>
      <c r="B73" s="516"/>
      <c r="C73" s="517"/>
      <c r="D73" s="517"/>
      <c r="E73" s="517"/>
      <c r="F73" s="517"/>
      <c r="G73" s="517"/>
      <c r="H73" s="517"/>
      <c r="I73" s="521"/>
      <c r="J73" s="504" t="s">
        <v>355</v>
      </c>
      <c r="K73" s="505"/>
      <c r="L73" s="505"/>
      <c r="M73" s="506"/>
      <c r="N73" s="504"/>
      <c r="O73" s="506"/>
      <c r="P73" s="163" t="s">
        <v>20</v>
      </c>
      <c r="Q73" s="502"/>
      <c r="R73" s="50"/>
      <c r="S73" s="50"/>
      <c r="T73" s="50"/>
      <c r="U73" s="510"/>
      <c r="X73" t="s">
        <v>397</v>
      </c>
    </row>
    <row r="74" spans="1:24" ht="17.25" thickBot="1" x14ac:dyDescent="0.3">
      <c r="A74" s="511" t="str">
        <f>R75&amp;U75&amp;T75</f>
        <v/>
      </c>
      <c r="B74" s="518"/>
      <c r="C74" s="519"/>
      <c r="D74" s="519"/>
      <c r="E74" s="519"/>
      <c r="F74" s="519"/>
      <c r="G74" s="519"/>
      <c r="H74" s="519"/>
      <c r="I74" s="522"/>
      <c r="J74" s="507" t="s">
        <v>356</v>
      </c>
      <c r="K74" s="508"/>
      <c r="L74" s="508"/>
      <c r="M74" s="509"/>
      <c r="N74" s="507"/>
      <c r="O74" s="509"/>
      <c r="P74" s="164" t="s">
        <v>357</v>
      </c>
      <c r="Q74" s="503"/>
      <c r="R74" s="50"/>
      <c r="S74" s="50"/>
      <c r="T74" s="50"/>
      <c r="U74" s="510"/>
      <c r="X74" t="s">
        <v>850</v>
      </c>
    </row>
    <row r="75" spans="1:24" ht="16.5" x14ac:dyDescent="0.25">
      <c r="A75" s="512"/>
      <c r="B75" s="514" t="s">
        <v>362</v>
      </c>
      <c r="C75" s="515"/>
      <c r="D75" s="515"/>
      <c r="E75" s="515"/>
      <c r="F75" s="515" t="s">
        <v>360</v>
      </c>
      <c r="G75" s="515"/>
      <c r="H75" s="515"/>
      <c r="I75" s="520"/>
      <c r="J75" s="504" t="s">
        <v>354</v>
      </c>
      <c r="K75" s="505"/>
      <c r="L75" s="505"/>
      <c r="M75" s="506"/>
      <c r="N75" s="504"/>
      <c r="O75" s="506"/>
      <c r="P75" s="163" t="s">
        <v>345</v>
      </c>
      <c r="Q75" s="501">
        <v>0</v>
      </c>
      <c r="X75" s="201" t="s">
        <v>398</v>
      </c>
    </row>
    <row r="76" spans="1:24" ht="17.25" thickBot="1" x14ac:dyDescent="0.3">
      <c r="A76" s="513"/>
      <c r="B76" s="516"/>
      <c r="C76" s="517"/>
      <c r="D76" s="517"/>
      <c r="E76" s="517"/>
      <c r="F76" s="517"/>
      <c r="G76" s="517"/>
      <c r="H76" s="517"/>
      <c r="I76" s="521"/>
      <c r="J76" s="504" t="s">
        <v>355</v>
      </c>
      <c r="K76" s="505"/>
      <c r="L76" s="505"/>
      <c r="M76" s="506"/>
      <c r="N76" s="504"/>
      <c r="O76" s="506"/>
      <c r="P76" s="163" t="s">
        <v>20</v>
      </c>
      <c r="Q76" s="502"/>
      <c r="X76" s="201" t="s">
        <v>851</v>
      </c>
    </row>
    <row r="77" spans="1:24" ht="17.25" thickBot="1" x14ac:dyDescent="0.3">
      <c r="B77" s="518"/>
      <c r="C77" s="519"/>
      <c r="D77" s="519"/>
      <c r="E77" s="519"/>
      <c r="F77" s="519"/>
      <c r="G77" s="519"/>
      <c r="H77" s="519"/>
      <c r="I77" s="522"/>
      <c r="J77" s="507" t="s">
        <v>356</v>
      </c>
      <c r="K77" s="508"/>
      <c r="L77" s="508"/>
      <c r="M77" s="509"/>
      <c r="N77" s="507"/>
      <c r="O77" s="509"/>
      <c r="P77" s="164" t="s">
        <v>357</v>
      </c>
      <c r="Q77" s="503"/>
    </row>
    <row r="78" spans="1:24" ht="15.75" thickBot="1" x14ac:dyDescent="0.3"/>
    <row r="79" spans="1:24" x14ac:dyDescent="0.25">
      <c r="A79" s="37"/>
    </row>
    <row r="80" spans="1:24" ht="15.75" x14ac:dyDescent="0.25">
      <c r="A80" s="141"/>
      <c r="C80" t="s">
        <v>79</v>
      </c>
    </row>
    <row r="81" spans="1:1" ht="15.75" x14ac:dyDescent="0.25">
      <c r="A81" s="35"/>
    </row>
    <row r="82" spans="1:1" ht="15.75" x14ac:dyDescent="0.25">
      <c r="A82" s="35"/>
    </row>
    <row r="83" spans="1:1" ht="15.75" x14ac:dyDescent="0.25">
      <c r="A83" s="35"/>
    </row>
    <row r="84" spans="1:1" ht="15.75" x14ac:dyDescent="0.25">
      <c r="A84" s="35"/>
    </row>
    <row r="85" spans="1:1" ht="15.75" x14ac:dyDescent="0.25">
      <c r="A85" s="35"/>
    </row>
    <row r="86" spans="1:1" ht="16.5" thickBot="1" x14ac:dyDescent="0.3">
      <c r="A86" s="36"/>
    </row>
  </sheetData>
  <mergeCells count="80">
    <mergeCell ref="J49:P49"/>
    <mergeCell ref="U49:U50"/>
    <mergeCell ref="J50:O50"/>
    <mergeCell ref="Q49:Q50"/>
    <mergeCell ref="J58:P58"/>
    <mergeCell ref="U52:U54"/>
    <mergeCell ref="Q52:Q54"/>
    <mergeCell ref="J51:P51"/>
    <mergeCell ref="B57:I57"/>
    <mergeCell ref="J57:P57"/>
    <mergeCell ref="B58:I58"/>
    <mergeCell ref="J52:M52"/>
    <mergeCell ref="J53:M53"/>
    <mergeCell ref="N52:O52"/>
    <mergeCell ref="N53:O53"/>
    <mergeCell ref="J54:P54"/>
    <mergeCell ref="B55:I55"/>
    <mergeCell ref="J55:P55"/>
    <mergeCell ref="B56:I56"/>
    <mergeCell ref="J56:P56"/>
    <mergeCell ref="A65:A67"/>
    <mergeCell ref="J66:M66"/>
    <mergeCell ref="J67:M67"/>
    <mergeCell ref="B66:I67"/>
    <mergeCell ref="B63:I63"/>
    <mergeCell ref="J63:P63"/>
    <mergeCell ref="B64:I64"/>
    <mergeCell ref="J64:P64"/>
    <mergeCell ref="B65:I65"/>
    <mergeCell ref="J65:P65"/>
    <mergeCell ref="Q60:Q62"/>
    <mergeCell ref="U60:U62"/>
    <mergeCell ref="A59:A61"/>
    <mergeCell ref="B60:I62"/>
    <mergeCell ref="J60:M60"/>
    <mergeCell ref="J61:M61"/>
    <mergeCell ref="N60:O60"/>
    <mergeCell ref="N61:O61"/>
    <mergeCell ref="J62:M62"/>
    <mergeCell ref="N62:O62"/>
    <mergeCell ref="B59:I59"/>
    <mergeCell ref="J59:P59"/>
    <mergeCell ref="U66:U68"/>
    <mergeCell ref="B68:I68"/>
    <mergeCell ref="J68:P68"/>
    <mergeCell ref="A68:A70"/>
    <mergeCell ref="J69:M69"/>
    <mergeCell ref="N69:O69"/>
    <mergeCell ref="Q69:Q71"/>
    <mergeCell ref="U69:U71"/>
    <mergeCell ref="J70:M70"/>
    <mergeCell ref="N66:O66"/>
    <mergeCell ref="Q66:Q68"/>
    <mergeCell ref="N67:O67"/>
    <mergeCell ref="N70:O70"/>
    <mergeCell ref="J71:M71"/>
    <mergeCell ref="N71:O71"/>
    <mergeCell ref="B69:E71"/>
    <mergeCell ref="A71:A73"/>
    <mergeCell ref="B72:E74"/>
    <mergeCell ref="F72:I74"/>
    <mergeCell ref="J72:M72"/>
    <mergeCell ref="N72:O72"/>
    <mergeCell ref="F69:I71"/>
    <mergeCell ref="A74:A76"/>
    <mergeCell ref="B75:E77"/>
    <mergeCell ref="F75:I77"/>
    <mergeCell ref="Q72:Q74"/>
    <mergeCell ref="U72:U74"/>
    <mergeCell ref="J73:M73"/>
    <mergeCell ref="N73:O73"/>
    <mergeCell ref="J74:M74"/>
    <mergeCell ref="N74:O74"/>
    <mergeCell ref="Q75:Q77"/>
    <mergeCell ref="J76:M76"/>
    <mergeCell ref="N76:O76"/>
    <mergeCell ref="J77:M77"/>
    <mergeCell ref="N77:O77"/>
    <mergeCell ref="J75:M75"/>
    <mergeCell ref="N75:O75"/>
  </mergeCells>
  <dataValidations disablePrompts="1" count="5">
    <dataValidation type="list" allowBlank="1" showInputMessage="1" showErrorMessage="1" sqref="N53:O53 N76:O76 N73:O73 N70:O70 N67:O67 N61:O61">
      <formula1>$X$52:$X$53</formula1>
    </dataValidation>
    <dataValidation type="list" allowBlank="1" showInputMessage="1" showErrorMessage="1" sqref="F69:I77">
      <formula1>$X$68:$X$71</formula1>
    </dataValidation>
    <dataValidation type="list" allowBlank="1" showInputMessage="1" showErrorMessage="1" sqref="J65:P65">
      <formula1>$B$152:$B$177</formula1>
    </dataValidation>
    <dataValidation type="list" allowBlank="1" showInputMessage="1" showErrorMessage="1" sqref="J63:P63">
      <formula1>$A$151:$A$164</formula1>
    </dataValidation>
    <dataValidation type="list" allowBlank="1" showInputMessage="1" showErrorMessage="1" sqref="J49:P49 J56:P57">
      <formula1>$A$1:$A$42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Лист3!$A$159:$A$164</xm:f>
          </x14:formula1>
          <xm:sqref>J58:P58</xm:sqref>
        </x14:dataValidation>
        <x14:dataValidation type="list" allowBlank="1" showInputMessage="1" showErrorMessage="1">
          <x14:formula1>
            <xm:f>Лист3!$C$153</xm:f>
          </x14:formula1>
          <xm:sqref>J64:P64</xm:sqref>
        </x14:dataValidation>
        <x14:dataValidation type="list" allowBlank="1" showInputMessage="1" showErrorMessage="1">
          <x14:formula1>
            <xm:f>Лист3!$A$149:$A$151</xm:f>
          </x14:formula1>
          <xm:sqref>B55:I55</xm:sqref>
        </x14:dataValidation>
        <x14:dataValidation type="list" allowBlank="1" showInputMessage="1" showErrorMessage="1">
          <x14:formula1>
            <xm:f>Лист3!$B$153:$B$176</xm:f>
          </x14:formula1>
          <xm:sqref>J59:P59</xm:sqref>
        </x14:dataValidation>
        <x14:dataValidation type="list" allowBlank="1" showInputMessage="1" showErrorMessage="1">
          <x14:formula1>
            <xm:f>Лист3!$A$153:$A$164</xm:f>
          </x14:formula1>
          <xm:sqref>J51:P51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Y93"/>
  <sheetViews>
    <sheetView zoomScaleNormal="100" workbookViewId="0">
      <pane xSplit="9" topLeftCell="J1" activePane="topRight" state="frozen"/>
      <selection pane="topRight" activeCell="G7" sqref="G7"/>
    </sheetView>
  </sheetViews>
  <sheetFormatPr defaultRowHeight="15" x14ac:dyDescent="0.25"/>
  <cols>
    <col min="1" max="3" width="0" style="8" hidden="1" customWidth="1"/>
    <col min="4" max="4" width="9.140625" style="8" customWidth="1"/>
    <col min="5" max="5" width="17.140625" style="8" customWidth="1"/>
    <col min="6" max="6" width="36.5703125" customWidth="1"/>
    <col min="7" max="7" width="39.28515625" customWidth="1"/>
    <col min="8" max="8" width="11.85546875" customWidth="1"/>
    <col min="9" max="9" width="16" customWidth="1"/>
    <col min="10" max="10" width="11" style="48" customWidth="1"/>
    <col min="11" max="11" width="54.7109375" customWidth="1"/>
    <col min="12" max="12" width="26.28515625" customWidth="1"/>
    <col min="14" max="14" width="24.140625" customWidth="1"/>
    <col min="15" max="15" width="18.42578125" customWidth="1"/>
    <col min="18" max="18" width="33.85546875" customWidth="1"/>
    <col min="19" max="19" width="31.42578125" customWidth="1"/>
    <col min="21" max="21" width="11" customWidth="1"/>
  </cols>
  <sheetData>
    <row r="1" spans="1:21" ht="30" customHeight="1" x14ac:dyDescent="0.3">
      <c r="F1" s="557" t="s">
        <v>140</v>
      </c>
      <c r="G1" s="557" t="s">
        <v>141</v>
      </c>
      <c r="H1" s="560" t="s">
        <v>142</v>
      </c>
      <c r="I1" s="561"/>
      <c r="J1" s="45"/>
      <c r="K1" s="557" t="s">
        <v>143</v>
      </c>
      <c r="L1" s="557" t="s">
        <v>144</v>
      </c>
      <c r="M1" s="557" t="s">
        <v>145</v>
      </c>
      <c r="N1" s="42" t="s">
        <v>146</v>
      </c>
      <c r="O1" t="e">
        <f>Лист1!#REF!</f>
        <v>#REF!</v>
      </c>
    </row>
    <row r="2" spans="1:21" ht="30" customHeight="1" x14ac:dyDescent="0.3">
      <c r="D2" s="8" t="s">
        <v>164</v>
      </c>
      <c r="E2" s="8" t="s">
        <v>207</v>
      </c>
      <c r="F2" s="559"/>
      <c r="G2" s="559"/>
      <c r="H2" s="56" t="s">
        <v>147</v>
      </c>
      <c r="I2" s="56" t="s">
        <v>148</v>
      </c>
      <c r="J2" s="46"/>
      <c r="K2" s="558"/>
      <c r="L2" s="558"/>
      <c r="M2" s="558"/>
      <c r="N2" s="43" t="s">
        <v>149</v>
      </c>
      <c r="O2" s="1"/>
    </row>
    <row r="3" spans="1:21" ht="60.75" customHeight="1" x14ac:dyDescent="0.3">
      <c r="A3" s="79"/>
      <c r="B3" s="79"/>
      <c r="C3" s="79"/>
      <c r="D3" s="79"/>
      <c r="E3" s="82"/>
      <c r="F3" s="83" t="s">
        <v>160</v>
      </c>
      <c r="G3" s="138" t="s">
        <v>161</v>
      </c>
      <c r="H3" s="139">
        <v>44.34</v>
      </c>
      <c r="I3" s="137" t="e">
        <f>H3*O1</f>
        <v>#REF!</v>
      </c>
      <c r="J3" s="47">
        <v>0</v>
      </c>
      <c r="K3" s="41"/>
      <c r="L3" s="41" t="s">
        <v>118</v>
      </c>
      <c r="M3" s="9"/>
      <c r="N3" s="41" t="s">
        <v>150</v>
      </c>
      <c r="O3" s="1"/>
      <c r="R3" s="179"/>
      <c r="S3" s="179"/>
      <c r="T3" s="183"/>
      <c r="U3" s="184"/>
    </row>
    <row r="4" spans="1:21" s="8" customFormat="1" ht="59.25" customHeight="1" x14ac:dyDescent="0.3">
      <c r="A4" s="79"/>
      <c r="B4" s="79"/>
      <c r="C4" s="79"/>
      <c r="D4" s="79"/>
      <c r="E4" s="80"/>
      <c r="F4" s="81" t="s">
        <v>162</v>
      </c>
      <c r="G4" s="81" t="s">
        <v>161</v>
      </c>
      <c r="H4" s="140">
        <v>44.34</v>
      </c>
      <c r="I4" s="137" t="e">
        <f>H4*O1</f>
        <v>#REF!</v>
      </c>
      <c r="J4" s="47">
        <v>0</v>
      </c>
      <c r="K4" s="41" t="s">
        <v>164</v>
      </c>
      <c r="L4" s="41" t="s">
        <v>118</v>
      </c>
      <c r="M4" s="9"/>
      <c r="N4" s="41" t="s">
        <v>150</v>
      </c>
      <c r="R4" s="179"/>
      <c r="S4" s="179"/>
      <c r="T4" s="183"/>
      <c r="U4" s="184"/>
    </row>
    <row r="5" spans="1:21" s="8" customFormat="1" ht="59.25" customHeight="1" x14ac:dyDescent="0.3">
      <c r="A5" s="79"/>
      <c r="B5" s="79"/>
      <c r="C5" s="79"/>
      <c r="D5" s="79"/>
      <c r="E5" s="82"/>
      <c r="F5" s="83" t="s">
        <v>163</v>
      </c>
      <c r="G5" s="83" t="s">
        <v>161</v>
      </c>
      <c r="H5" s="140">
        <v>44.34</v>
      </c>
      <c r="I5" s="137" t="e">
        <f>H5*O1</f>
        <v>#REF!</v>
      </c>
      <c r="J5" s="47"/>
      <c r="K5" s="41"/>
      <c r="L5" s="41" t="s">
        <v>118</v>
      </c>
      <c r="M5" s="9"/>
      <c r="N5" s="41" t="s">
        <v>150</v>
      </c>
      <c r="R5" s="179"/>
      <c r="S5" s="179"/>
      <c r="T5" s="185"/>
      <c r="U5" s="184"/>
    </row>
    <row r="6" spans="1:21" s="8" customFormat="1" ht="59.25" customHeight="1" x14ac:dyDescent="0.3">
      <c r="A6" s="79"/>
      <c r="B6" s="79"/>
      <c r="C6" s="79"/>
      <c r="D6" s="79"/>
      <c r="E6" s="80"/>
      <c r="F6" s="81" t="s">
        <v>162</v>
      </c>
      <c r="G6" s="81" t="s">
        <v>153</v>
      </c>
      <c r="H6" s="140">
        <v>44.34</v>
      </c>
      <c r="I6" s="137" t="e">
        <f>H6*O1</f>
        <v>#REF!</v>
      </c>
      <c r="J6" s="47"/>
      <c r="K6" s="41"/>
      <c r="L6" s="41" t="s">
        <v>118</v>
      </c>
      <c r="M6" s="9"/>
      <c r="N6" s="41" t="s">
        <v>150</v>
      </c>
      <c r="R6" s="179"/>
      <c r="S6" s="179"/>
      <c r="T6" s="185"/>
      <c r="U6" s="184"/>
    </row>
    <row r="7" spans="1:21" s="8" customFormat="1" ht="59.25" customHeight="1" x14ac:dyDescent="0.3">
      <c r="A7" s="64"/>
      <c r="B7" s="64"/>
      <c r="C7" s="64"/>
      <c r="D7" s="64"/>
      <c r="E7" s="69">
        <v>2</v>
      </c>
      <c r="F7" s="70" t="s">
        <v>160</v>
      </c>
      <c r="G7" s="70" t="s">
        <v>151</v>
      </c>
      <c r="H7" s="71">
        <v>39.61</v>
      </c>
      <c r="I7" s="137" t="e">
        <f>H7*$O1</f>
        <v>#REF!</v>
      </c>
      <c r="J7" s="47"/>
      <c r="K7" s="41"/>
      <c r="L7" s="41" t="s">
        <v>118</v>
      </c>
      <c r="M7" s="9"/>
      <c r="N7" s="41" t="s">
        <v>152</v>
      </c>
      <c r="R7" s="179"/>
      <c r="S7" s="179"/>
      <c r="T7" s="185"/>
      <c r="U7" s="184"/>
    </row>
    <row r="8" spans="1:21" s="8" customFormat="1" ht="59.25" customHeight="1" x14ac:dyDescent="0.3">
      <c r="A8" s="64"/>
      <c r="B8" s="64"/>
      <c r="C8" s="64"/>
      <c r="D8" s="64"/>
      <c r="E8" s="65">
        <v>31</v>
      </c>
      <c r="F8" s="66" t="s">
        <v>163</v>
      </c>
      <c r="G8" s="66" t="s">
        <v>151</v>
      </c>
      <c r="H8" s="67">
        <v>39.61</v>
      </c>
      <c r="I8" s="68" t="e">
        <f>H8*O1</f>
        <v>#REF!</v>
      </c>
      <c r="J8" s="47"/>
      <c r="K8" s="41"/>
      <c r="L8" s="41" t="s">
        <v>118</v>
      </c>
      <c r="M8" s="9"/>
      <c r="N8" s="41" t="s">
        <v>152</v>
      </c>
    </row>
    <row r="9" spans="1:21" s="8" customFormat="1" ht="59.25" customHeight="1" x14ac:dyDescent="0.3">
      <c r="A9" s="64"/>
      <c r="B9" s="64"/>
      <c r="C9" s="64"/>
      <c r="D9" s="64"/>
      <c r="E9" s="69">
        <v>1</v>
      </c>
      <c r="F9" s="70" t="s">
        <v>162</v>
      </c>
      <c r="G9" s="70" t="s">
        <v>154</v>
      </c>
      <c r="H9" s="71">
        <v>39.61</v>
      </c>
      <c r="I9" s="137" t="e">
        <f>H9*O1</f>
        <v>#REF!</v>
      </c>
      <c r="J9" s="47"/>
      <c r="K9" s="41"/>
      <c r="L9" s="41" t="s">
        <v>118</v>
      </c>
      <c r="M9" s="9"/>
      <c r="N9" s="41" t="s">
        <v>152</v>
      </c>
    </row>
    <row r="10" spans="1:21" s="8" customFormat="1" ht="59.25" customHeight="1" x14ac:dyDescent="0.3">
      <c r="A10" s="64"/>
      <c r="B10" s="64"/>
      <c r="C10" s="64"/>
      <c r="D10" s="64"/>
      <c r="E10" s="65"/>
      <c r="F10" s="66" t="s">
        <v>160</v>
      </c>
      <c r="G10" s="66" t="s">
        <v>155</v>
      </c>
      <c r="H10" s="67">
        <v>39.61</v>
      </c>
      <c r="I10" s="68" t="e">
        <f>H10*O1</f>
        <v>#REF!</v>
      </c>
      <c r="J10" s="47"/>
      <c r="K10" s="41"/>
      <c r="L10" s="41" t="s">
        <v>118</v>
      </c>
      <c r="M10" s="9"/>
      <c r="N10" s="41" t="s">
        <v>152</v>
      </c>
    </row>
    <row r="11" spans="1:21" s="8" customFormat="1" ht="59.25" customHeight="1" x14ac:dyDescent="0.3">
      <c r="A11" s="64"/>
      <c r="B11" s="64"/>
      <c r="C11" s="64"/>
      <c r="D11" s="64"/>
      <c r="E11" s="69"/>
      <c r="F11" s="70" t="s">
        <v>162</v>
      </c>
      <c r="G11" s="70" t="s">
        <v>155</v>
      </c>
      <c r="H11" s="71">
        <v>39.61</v>
      </c>
      <c r="I11" s="137" t="e">
        <f>H11*O1</f>
        <v>#REF!</v>
      </c>
      <c r="J11" s="47"/>
      <c r="K11" s="41" t="s">
        <v>164</v>
      </c>
      <c r="L11" s="41" t="s">
        <v>118</v>
      </c>
      <c r="M11" s="9"/>
      <c r="N11" s="41" t="s">
        <v>152</v>
      </c>
    </row>
    <row r="12" spans="1:21" s="8" customFormat="1" ht="65.25" customHeight="1" x14ac:dyDescent="0.3">
      <c r="A12" s="127"/>
      <c r="B12" s="127"/>
      <c r="C12" s="127"/>
      <c r="D12" s="127"/>
      <c r="E12" s="128"/>
      <c r="F12" s="129" t="s">
        <v>165</v>
      </c>
      <c r="G12" s="129" t="s">
        <v>156</v>
      </c>
      <c r="H12" s="130">
        <v>102.6</v>
      </c>
      <c r="I12" s="137" t="e">
        <f>H12*O1</f>
        <v>#REF!</v>
      </c>
      <c r="J12" s="47"/>
      <c r="K12" s="41"/>
      <c r="L12" s="41" t="s">
        <v>118</v>
      </c>
      <c r="M12" s="9"/>
      <c r="N12" s="41"/>
    </row>
    <row r="13" spans="1:21" s="8" customFormat="1" ht="66" customHeight="1" x14ac:dyDescent="0.3">
      <c r="A13" s="127"/>
      <c r="B13" s="127"/>
      <c r="C13" s="127"/>
      <c r="D13" s="127"/>
      <c r="E13" s="132"/>
      <c r="F13" s="133" t="s">
        <v>167</v>
      </c>
      <c r="G13" s="133" t="s">
        <v>158</v>
      </c>
      <c r="H13" s="134">
        <v>110.52</v>
      </c>
      <c r="I13" s="137" t="e">
        <f>H13*O1</f>
        <v>#REF!</v>
      </c>
      <c r="J13" s="47"/>
      <c r="K13" s="41"/>
      <c r="L13" s="41" t="s">
        <v>118</v>
      </c>
      <c r="M13" s="9"/>
      <c r="N13" s="41"/>
    </row>
    <row r="14" spans="1:21" s="8" customFormat="1" ht="64.5" customHeight="1" x14ac:dyDescent="0.3">
      <c r="A14" s="127"/>
      <c r="B14" s="127"/>
      <c r="C14" s="127"/>
      <c r="D14" s="127"/>
      <c r="E14" s="128"/>
      <c r="F14" s="136" t="s">
        <v>166</v>
      </c>
      <c r="G14" s="129" t="s">
        <v>117</v>
      </c>
      <c r="H14" s="130">
        <v>137.12</v>
      </c>
      <c r="I14" s="137" t="e">
        <f>H14*O1</f>
        <v>#REF!</v>
      </c>
      <c r="J14" s="47"/>
      <c r="K14" s="41"/>
      <c r="L14" s="41" t="s">
        <v>118</v>
      </c>
      <c r="M14" s="9"/>
      <c r="N14" s="41"/>
    </row>
    <row r="15" spans="1:21" s="8" customFormat="1" ht="64.5" customHeight="1" x14ac:dyDescent="0.3">
      <c r="A15" s="127"/>
      <c r="B15" s="127"/>
      <c r="C15" s="127"/>
      <c r="D15" s="127"/>
      <c r="E15" s="132">
        <v>51</v>
      </c>
      <c r="F15" s="133" t="s">
        <v>165</v>
      </c>
      <c r="G15" s="133" t="s">
        <v>157</v>
      </c>
      <c r="H15" s="134">
        <v>56.22</v>
      </c>
      <c r="I15" s="135" t="e">
        <f>H15*O1</f>
        <v>#REF!</v>
      </c>
      <c r="J15" s="47"/>
      <c r="K15" s="41"/>
      <c r="L15" s="41" t="s">
        <v>118</v>
      </c>
      <c r="M15" s="9"/>
      <c r="N15" s="41"/>
    </row>
    <row r="16" spans="1:21" s="8" customFormat="1" ht="64.5" hidden="1" customHeight="1" x14ac:dyDescent="0.3">
      <c r="A16" s="127"/>
      <c r="B16" s="127"/>
      <c r="C16" s="127"/>
      <c r="D16" s="127"/>
      <c r="E16" s="128">
        <v>52</v>
      </c>
      <c r="F16" s="129" t="s">
        <v>167</v>
      </c>
      <c r="G16" s="129" t="s">
        <v>159</v>
      </c>
      <c r="H16" s="130">
        <v>61.11</v>
      </c>
      <c r="I16" s="131" t="e">
        <f>H16*O1</f>
        <v>#REF!</v>
      </c>
      <c r="J16" s="47"/>
      <c r="K16" s="41"/>
      <c r="L16" s="41" t="s">
        <v>118</v>
      </c>
      <c r="M16" s="9"/>
      <c r="N16" s="41"/>
    </row>
    <row r="17" spans="1:14" ht="65.099999999999994" customHeight="1" x14ac:dyDescent="0.25">
      <c r="A17" s="127"/>
      <c r="B17" s="127"/>
      <c r="C17" s="127"/>
      <c r="D17" s="127"/>
      <c r="E17" s="132">
        <v>53</v>
      </c>
      <c r="F17" s="133" t="s">
        <v>166</v>
      </c>
      <c r="G17" s="133" t="s">
        <v>119</v>
      </c>
      <c r="H17" s="134">
        <v>70.89</v>
      </c>
      <c r="I17" s="135" t="e">
        <f>H17*O1</f>
        <v>#REF!</v>
      </c>
      <c r="J17" s="47"/>
      <c r="K17" s="44"/>
      <c r="L17" s="44" t="s">
        <v>118</v>
      </c>
      <c r="M17" s="49">
        <v>15</v>
      </c>
      <c r="N17" s="44"/>
    </row>
    <row r="18" spans="1:14" ht="65.099999999999994" customHeight="1" x14ac:dyDescent="0.25">
      <c r="A18" s="9"/>
      <c r="B18" s="9"/>
      <c r="C18" s="9"/>
      <c r="D18" s="9"/>
      <c r="E18" s="59"/>
      <c r="F18" s="44" t="s">
        <v>168</v>
      </c>
      <c r="G18" s="44" t="s">
        <v>120</v>
      </c>
      <c r="H18" s="61">
        <v>47.5</v>
      </c>
      <c r="I18" s="135" t="e">
        <f>H18*O1</f>
        <v>#REF!</v>
      </c>
      <c r="J18" s="47"/>
      <c r="K18" s="44"/>
      <c r="L18" s="44" t="s">
        <v>118</v>
      </c>
      <c r="M18" s="49">
        <v>15</v>
      </c>
      <c r="N18" s="44" t="s">
        <v>122</v>
      </c>
    </row>
    <row r="19" spans="1:14" s="50" customFormat="1" ht="65.099999999999994" customHeight="1" x14ac:dyDescent="0.25">
      <c r="A19" s="49"/>
      <c r="B19" s="49"/>
      <c r="C19" s="49"/>
      <c r="D19" s="49"/>
      <c r="E19" s="62"/>
      <c r="F19" s="57" t="s">
        <v>168</v>
      </c>
      <c r="G19" s="57" t="s">
        <v>123</v>
      </c>
      <c r="H19" s="55">
        <v>88</v>
      </c>
      <c r="I19" s="58" t="e">
        <f>H19*O1</f>
        <v>#REF!</v>
      </c>
      <c r="J19" s="47"/>
      <c r="K19" s="44" t="s">
        <v>121</v>
      </c>
      <c r="L19" s="44" t="s">
        <v>118</v>
      </c>
      <c r="M19" s="49">
        <v>15</v>
      </c>
      <c r="N19" s="44" t="s">
        <v>124</v>
      </c>
    </row>
    <row r="20" spans="1:14" s="50" customFormat="1" ht="39.950000000000003" customHeight="1" x14ac:dyDescent="0.25">
      <c r="A20" s="125"/>
      <c r="B20" s="125"/>
      <c r="C20" s="125"/>
      <c r="D20" s="125"/>
      <c r="E20" s="126"/>
      <c r="F20" s="107" t="s">
        <v>169</v>
      </c>
      <c r="G20" s="107" t="s">
        <v>125</v>
      </c>
      <c r="H20" s="108">
        <v>26.65</v>
      </c>
      <c r="I20" s="109" t="e">
        <f>H20*O1</f>
        <v>#REF!</v>
      </c>
      <c r="J20" s="47"/>
      <c r="K20" s="44" t="s">
        <v>126</v>
      </c>
      <c r="L20" s="44" t="s">
        <v>118</v>
      </c>
      <c r="M20" s="49"/>
      <c r="N20" s="44"/>
    </row>
    <row r="21" spans="1:14" ht="39.950000000000003" customHeight="1" x14ac:dyDescent="0.25">
      <c r="A21" s="105"/>
      <c r="B21" s="105"/>
      <c r="C21" s="105"/>
      <c r="D21" s="105"/>
      <c r="E21" s="110"/>
      <c r="F21" s="111" t="s">
        <v>169</v>
      </c>
      <c r="G21" s="111" t="s">
        <v>127</v>
      </c>
      <c r="H21" s="112">
        <v>230.23</v>
      </c>
      <c r="I21" s="113" t="e">
        <f>H21*O1</f>
        <v>#REF!</v>
      </c>
      <c r="J21" s="47"/>
      <c r="K21" s="44" t="s">
        <v>126</v>
      </c>
      <c r="L21" s="44" t="s">
        <v>118</v>
      </c>
      <c r="M21" s="49"/>
      <c r="N21" s="44"/>
    </row>
    <row r="22" spans="1:14" ht="39.950000000000003" customHeight="1" x14ac:dyDescent="0.25">
      <c r="A22" s="105"/>
      <c r="B22" s="105"/>
      <c r="C22" s="105"/>
      <c r="D22" s="105"/>
      <c r="E22" s="106"/>
      <c r="F22" s="107" t="s">
        <v>169</v>
      </c>
      <c r="G22" s="107" t="s">
        <v>128</v>
      </c>
      <c r="H22" s="108">
        <v>432.76</v>
      </c>
      <c r="I22" s="109" t="e">
        <f>H22*O1</f>
        <v>#REF!</v>
      </c>
      <c r="J22" s="47"/>
      <c r="K22" s="44" t="s">
        <v>126</v>
      </c>
      <c r="L22" s="44" t="s">
        <v>118</v>
      </c>
      <c r="M22" s="49"/>
      <c r="N22" s="44"/>
    </row>
    <row r="23" spans="1:14" ht="39.950000000000003" customHeight="1" x14ac:dyDescent="0.25">
      <c r="A23" s="105"/>
      <c r="B23" s="105"/>
      <c r="C23" s="105"/>
      <c r="D23" s="105"/>
      <c r="E23" s="110"/>
      <c r="F23" s="111" t="s">
        <v>169</v>
      </c>
      <c r="G23" s="111" t="s">
        <v>129</v>
      </c>
      <c r="H23" s="112">
        <v>68.16</v>
      </c>
      <c r="I23" s="113" t="e">
        <f>H23*O1</f>
        <v>#REF!</v>
      </c>
      <c r="J23" s="47"/>
      <c r="K23" s="44" t="s">
        <v>126</v>
      </c>
      <c r="L23" s="44" t="s">
        <v>118</v>
      </c>
      <c r="M23" s="49">
        <v>30</v>
      </c>
      <c r="N23" s="44"/>
    </row>
    <row r="24" spans="1:14" ht="39.950000000000003" customHeight="1" x14ac:dyDescent="0.25">
      <c r="A24" s="9"/>
      <c r="B24" s="9"/>
      <c r="C24" s="9"/>
      <c r="D24" s="9"/>
      <c r="E24" s="59"/>
      <c r="F24" s="44" t="s">
        <v>170</v>
      </c>
      <c r="G24" s="63" t="s">
        <v>130</v>
      </c>
      <c r="H24" s="61">
        <v>163.22</v>
      </c>
      <c r="I24" s="60" t="e">
        <f>H24*O1</f>
        <v>#REF!</v>
      </c>
      <c r="J24" s="47"/>
      <c r="K24" s="44" t="s">
        <v>131</v>
      </c>
      <c r="L24" s="44" t="s">
        <v>118</v>
      </c>
      <c r="M24" s="49"/>
      <c r="N24" s="44"/>
    </row>
    <row r="25" spans="1:14" s="50" customFormat="1" ht="39.950000000000003" customHeight="1" x14ac:dyDescent="0.25">
      <c r="A25" s="49"/>
      <c r="B25" s="49"/>
      <c r="C25" s="49"/>
      <c r="D25" s="49"/>
      <c r="E25" s="62"/>
      <c r="F25" s="57" t="s">
        <v>170</v>
      </c>
      <c r="G25" s="57" t="s">
        <v>132</v>
      </c>
      <c r="H25" s="55">
        <v>149.62</v>
      </c>
      <c r="I25" s="58" t="e">
        <f>H25*O1</f>
        <v>#REF!</v>
      </c>
      <c r="J25" s="47"/>
      <c r="K25" s="44" t="s">
        <v>131</v>
      </c>
      <c r="L25" s="44" t="s">
        <v>118</v>
      </c>
      <c r="M25" s="49">
        <v>30</v>
      </c>
      <c r="N25" s="44"/>
    </row>
    <row r="26" spans="1:14" ht="67.5" customHeight="1" x14ac:dyDescent="0.25">
      <c r="A26" s="114"/>
      <c r="B26" s="114"/>
      <c r="C26" s="114"/>
      <c r="D26" s="114"/>
      <c r="E26" s="115">
        <v>4</v>
      </c>
      <c r="F26" s="116" t="s">
        <v>171</v>
      </c>
      <c r="G26" s="116" t="s">
        <v>133</v>
      </c>
      <c r="H26" s="117">
        <v>36.42</v>
      </c>
      <c r="I26" s="58" t="e">
        <f>H26*O1</f>
        <v>#REF!</v>
      </c>
      <c r="J26" s="47"/>
      <c r="K26" s="44" t="s">
        <v>134</v>
      </c>
      <c r="L26" s="44"/>
      <c r="M26" s="49"/>
      <c r="N26" s="44" t="s">
        <v>135</v>
      </c>
    </row>
    <row r="27" spans="1:14" s="50" customFormat="1" ht="65.099999999999994" customHeight="1" x14ac:dyDescent="0.25">
      <c r="A27" s="119"/>
      <c r="B27" s="119"/>
      <c r="C27" s="119"/>
      <c r="D27" s="119"/>
      <c r="E27" s="120"/>
      <c r="F27" s="121" t="s">
        <v>171</v>
      </c>
      <c r="G27" s="121" t="s">
        <v>136</v>
      </c>
      <c r="H27" s="122">
        <v>39.74</v>
      </c>
      <c r="I27" s="123" t="e">
        <f>H27*O1</f>
        <v>#REF!</v>
      </c>
      <c r="J27" s="47"/>
      <c r="K27" s="44" t="s">
        <v>134</v>
      </c>
      <c r="L27" s="44"/>
      <c r="M27" s="49">
        <v>30</v>
      </c>
      <c r="N27" s="44" t="s">
        <v>135</v>
      </c>
    </row>
    <row r="28" spans="1:14" ht="65.099999999999994" customHeight="1" x14ac:dyDescent="0.25">
      <c r="A28" s="114"/>
      <c r="B28" s="114"/>
      <c r="C28" s="114"/>
      <c r="D28" s="114"/>
      <c r="E28" s="115">
        <v>41</v>
      </c>
      <c r="F28" s="116" t="s">
        <v>171</v>
      </c>
      <c r="G28" s="116" t="s">
        <v>137</v>
      </c>
      <c r="H28" s="117">
        <v>32.56</v>
      </c>
      <c r="I28" s="118" t="e">
        <f>H28*O1</f>
        <v>#REF!</v>
      </c>
      <c r="J28" s="47"/>
      <c r="K28" s="44" t="s">
        <v>134</v>
      </c>
      <c r="L28" s="44"/>
      <c r="M28" s="49"/>
      <c r="N28" s="44" t="s">
        <v>138</v>
      </c>
    </row>
    <row r="29" spans="1:14" ht="65.099999999999994" customHeight="1" x14ac:dyDescent="0.25">
      <c r="A29" s="114"/>
      <c r="B29" s="114"/>
      <c r="C29" s="114"/>
      <c r="D29" s="114"/>
      <c r="E29" s="124"/>
      <c r="F29" s="121" t="s">
        <v>171</v>
      </c>
      <c r="G29" s="121" t="s">
        <v>139</v>
      </c>
      <c r="H29" s="122">
        <v>34.700000000000003</v>
      </c>
      <c r="I29" s="123" t="e">
        <f>H29*$O1</f>
        <v>#REF!</v>
      </c>
      <c r="J29" s="47"/>
      <c r="K29" s="44" t="s">
        <v>134</v>
      </c>
      <c r="L29" s="44"/>
      <c r="M29" s="49">
        <v>30</v>
      </c>
      <c r="N29" s="44" t="s">
        <v>138</v>
      </c>
    </row>
    <row r="30" spans="1:14" s="8" customFormat="1" ht="65.099999999999994" customHeight="1" x14ac:dyDescent="0.3">
      <c r="A30" s="105"/>
      <c r="B30" s="105"/>
      <c r="C30" s="105"/>
      <c r="D30" s="105"/>
      <c r="E30" s="106">
        <v>6</v>
      </c>
      <c r="F30" s="107" t="s">
        <v>196</v>
      </c>
      <c r="G30" s="107" t="s">
        <v>172</v>
      </c>
      <c r="H30" s="117">
        <v>36.42</v>
      </c>
      <c r="I30" s="123" t="e">
        <f>H30*O1</f>
        <v>#REF!</v>
      </c>
      <c r="J30" s="47"/>
      <c r="K30" s="41" t="s">
        <v>173</v>
      </c>
      <c r="L30" s="44" t="s">
        <v>174</v>
      </c>
      <c r="M30" s="49">
        <v>15</v>
      </c>
      <c r="N30" s="44" t="s">
        <v>135</v>
      </c>
    </row>
    <row r="31" spans="1:14" s="8" customFormat="1" ht="65.099999999999994" customHeight="1" x14ac:dyDescent="0.3">
      <c r="A31" s="105"/>
      <c r="B31" s="105"/>
      <c r="C31" s="105"/>
      <c r="D31" s="105"/>
      <c r="E31" s="110">
        <v>72</v>
      </c>
      <c r="F31" s="111" t="s">
        <v>197</v>
      </c>
      <c r="G31" s="111" t="s">
        <v>172</v>
      </c>
      <c r="H31" s="117">
        <v>36.42</v>
      </c>
      <c r="I31" s="123" t="e">
        <f>H31*$O1</f>
        <v>#REF!</v>
      </c>
      <c r="J31" s="47"/>
      <c r="K31" s="41" t="s">
        <v>173</v>
      </c>
      <c r="L31" s="44" t="s">
        <v>174</v>
      </c>
      <c r="M31" s="49">
        <v>15</v>
      </c>
      <c r="N31" s="44" t="s">
        <v>135</v>
      </c>
    </row>
    <row r="32" spans="1:14" s="8" customFormat="1" ht="65.099999999999994" customHeight="1" x14ac:dyDescent="0.3">
      <c r="A32" s="105"/>
      <c r="B32" s="105"/>
      <c r="C32" s="105"/>
      <c r="D32" s="105"/>
      <c r="E32" s="106">
        <v>92</v>
      </c>
      <c r="F32" s="107" t="s">
        <v>198</v>
      </c>
      <c r="G32" s="107" t="s">
        <v>172</v>
      </c>
      <c r="H32" s="117">
        <v>36.42</v>
      </c>
      <c r="I32" s="123" t="e">
        <f>H32*$O1</f>
        <v>#REF!</v>
      </c>
      <c r="J32" s="47"/>
      <c r="K32" s="41" t="s">
        <v>173</v>
      </c>
      <c r="L32" s="44" t="s">
        <v>174</v>
      </c>
      <c r="M32" s="49">
        <v>15</v>
      </c>
      <c r="N32" s="44" t="s">
        <v>135</v>
      </c>
    </row>
    <row r="33" spans="1:14" s="8" customFormat="1" ht="65.099999999999994" customHeight="1" x14ac:dyDescent="0.3">
      <c r="A33" s="105"/>
      <c r="B33" s="105"/>
      <c r="C33" s="105"/>
      <c r="D33" s="105"/>
      <c r="E33" s="106">
        <v>30</v>
      </c>
      <c r="F33" s="107" t="s">
        <v>222</v>
      </c>
      <c r="G33" s="107" t="s">
        <v>172</v>
      </c>
      <c r="H33" s="117">
        <v>36.42</v>
      </c>
      <c r="I33" s="123" t="e">
        <f>H33*$O1</f>
        <v>#REF!</v>
      </c>
      <c r="J33" s="47"/>
      <c r="K33" s="41" t="s">
        <v>221</v>
      </c>
      <c r="L33" s="44" t="s">
        <v>174</v>
      </c>
      <c r="M33" s="49"/>
      <c r="N33" s="44" t="s">
        <v>135</v>
      </c>
    </row>
    <row r="34" spans="1:14" s="8" customFormat="1" ht="65.099999999999994" customHeight="1" x14ac:dyDescent="0.3">
      <c r="A34" s="105"/>
      <c r="B34" s="105"/>
      <c r="C34" s="105"/>
      <c r="D34" s="105"/>
      <c r="E34" s="110">
        <v>81</v>
      </c>
      <c r="F34" s="111" t="s">
        <v>199</v>
      </c>
      <c r="G34" s="111" t="s">
        <v>172</v>
      </c>
      <c r="H34" s="117">
        <v>36.42</v>
      </c>
      <c r="I34" s="123" t="e">
        <f>H34*$O1</f>
        <v>#REF!</v>
      </c>
      <c r="J34" s="47"/>
      <c r="K34" s="41" t="s">
        <v>173</v>
      </c>
      <c r="L34" s="44" t="s">
        <v>174</v>
      </c>
      <c r="M34" s="49">
        <v>15</v>
      </c>
      <c r="N34" s="44" t="s">
        <v>135</v>
      </c>
    </row>
    <row r="35" spans="1:14" s="8" customFormat="1" ht="65.099999999999994" customHeight="1" x14ac:dyDescent="0.25">
      <c r="A35" s="98"/>
      <c r="B35" s="98"/>
      <c r="C35" s="98"/>
      <c r="D35" s="98"/>
      <c r="E35" s="99"/>
      <c r="F35" s="100" t="s">
        <v>196</v>
      </c>
      <c r="G35" s="100" t="s">
        <v>175</v>
      </c>
      <c r="H35" s="101">
        <v>72.849999999999994</v>
      </c>
      <c r="I35" s="101" t="e">
        <f>H35*O1</f>
        <v>#REF!</v>
      </c>
      <c r="J35" s="47"/>
      <c r="K35" s="44" t="s">
        <v>173</v>
      </c>
      <c r="L35" s="44" t="s">
        <v>174</v>
      </c>
      <c r="M35" s="49">
        <v>30</v>
      </c>
      <c r="N35" s="44" t="s">
        <v>135</v>
      </c>
    </row>
    <row r="36" spans="1:14" s="8" customFormat="1" ht="65.099999999999994" customHeight="1" x14ac:dyDescent="0.25">
      <c r="A36" s="98"/>
      <c r="B36" s="98"/>
      <c r="C36" s="98"/>
      <c r="D36" s="98"/>
      <c r="E36" s="102"/>
      <c r="F36" s="103" t="s">
        <v>197</v>
      </c>
      <c r="G36" s="103" t="s">
        <v>175</v>
      </c>
      <c r="H36" s="104">
        <v>72.849999999999994</v>
      </c>
      <c r="I36" s="104" t="e">
        <f>H36*O1</f>
        <v>#REF!</v>
      </c>
      <c r="J36" s="47"/>
      <c r="K36" s="44" t="s">
        <v>173</v>
      </c>
      <c r="L36" s="44" t="s">
        <v>174</v>
      </c>
      <c r="M36" s="49">
        <v>30</v>
      </c>
      <c r="N36" s="44" t="s">
        <v>135</v>
      </c>
    </row>
    <row r="37" spans="1:14" s="8" customFormat="1" ht="65.099999999999994" customHeight="1" x14ac:dyDescent="0.25">
      <c r="A37" s="98"/>
      <c r="B37" s="98"/>
      <c r="C37" s="98"/>
      <c r="D37" s="98"/>
      <c r="E37" s="99"/>
      <c r="F37" s="100" t="s">
        <v>198</v>
      </c>
      <c r="G37" s="100" t="s">
        <v>175</v>
      </c>
      <c r="H37" s="101">
        <v>72.849999999999994</v>
      </c>
      <c r="I37" s="101" t="e">
        <f>H37*O1</f>
        <v>#REF!</v>
      </c>
      <c r="J37" s="47"/>
      <c r="K37" s="44" t="s">
        <v>173</v>
      </c>
      <c r="L37" s="44" t="s">
        <v>174</v>
      </c>
      <c r="M37" s="49">
        <v>30</v>
      </c>
      <c r="N37" s="44" t="s">
        <v>135</v>
      </c>
    </row>
    <row r="38" spans="1:14" s="8" customFormat="1" ht="65.099999999999994" customHeight="1" x14ac:dyDescent="0.25">
      <c r="A38" s="98"/>
      <c r="B38" s="98"/>
      <c r="C38" s="98"/>
      <c r="D38" s="98"/>
      <c r="E38" s="102"/>
      <c r="F38" s="103" t="s">
        <v>199</v>
      </c>
      <c r="G38" s="103" t="s">
        <v>175</v>
      </c>
      <c r="H38" s="104">
        <v>72.849999999999994</v>
      </c>
      <c r="I38" s="104" t="e">
        <f>H38*O1</f>
        <v>#REF!</v>
      </c>
      <c r="J38" s="47"/>
      <c r="K38" s="44" t="s">
        <v>173</v>
      </c>
      <c r="L38" s="44" t="s">
        <v>174</v>
      </c>
      <c r="M38" s="49">
        <v>30</v>
      </c>
      <c r="N38" s="44" t="s">
        <v>135</v>
      </c>
    </row>
    <row r="39" spans="1:14" s="8" customFormat="1" ht="65.099999999999994" customHeight="1" x14ac:dyDescent="0.3">
      <c r="A39" s="98"/>
      <c r="B39" s="98"/>
      <c r="C39" s="98"/>
      <c r="D39" s="98"/>
      <c r="E39" s="102"/>
      <c r="F39" s="100" t="s">
        <v>222</v>
      </c>
      <c r="G39" s="103" t="s">
        <v>175</v>
      </c>
      <c r="H39" s="104">
        <v>72.849999999999994</v>
      </c>
      <c r="I39" s="104" t="e">
        <f>H39*O1</f>
        <v>#REF!</v>
      </c>
      <c r="J39" s="47"/>
      <c r="K39" s="41" t="s">
        <v>221</v>
      </c>
      <c r="L39" s="44" t="s">
        <v>174</v>
      </c>
      <c r="M39" s="49">
        <v>30</v>
      </c>
      <c r="N39" s="44" t="s">
        <v>135</v>
      </c>
    </row>
    <row r="40" spans="1:14" s="8" customFormat="1" ht="65.099999999999994" customHeight="1" x14ac:dyDescent="0.25">
      <c r="A40" s="91"/>
      <c r="B40" s="91"/>
      <c r="C40" s="91"/>
      <c r="D40" s="91"/>
      <c r="E40" s="92">
        <v>61</v>
      </c>
      <c r="F40" s="93" t="s">
        <v>196</v>
      </c>
      <c r="G40" s="93" t="s">
        <v>176</v>
      </c>
      <c r="H40" s="94">
        <v>55.73</v>
      </c>
      <c r="I40" s="94" t="e">
        <f>H40*O1</f>
        <v>#REF!</v>
      </c>
      <c r="J40" s="47"/>
      <c r="K40" s="44" t="s">
        <v>173</v>
      </c>
      <c r="L40" s="44" t="s">
        <v>87</v>
      </c>
      <c r="M40" s="49"/>
      <c r="N40" s="44" t="s">
        <v>138</v>
      </c>
    </row>
    <row r="41" spans="1:14" s="8" customFormat="1" ht="65.099999999999994" customHeight="1" x14ac:dyDescent="0.25">
      <c r="A41" s="91"/>
      <c r="B41" s="91"/>
      <c r="C41" s="91"/>
      <c r="D41" s="91"/>
      <c r="E41" s="95">
        <v>76</v>
      </c>
      <c r="F41" s="96" t="s">
        <v>197</v>
      </c>
      <c r="G41" s="96" t="s">
        <v>176</v>
      </c>
      <c r="H41" s="97">
        <v>55.73</v>
      </c>
      <c r="I41" s="97" t="e">
        <f>H41*O1</f>
        <v>#REF!</v>
      </c>
      <c r="J41" s="47"/>
      <c r="K41" s="44" t="s">
        <v>173</v>
      </c>
      <c r="L41" s="44" t="s">
        <v>87</v>
      </c>
      <c r="M41" s="49"/>
      <c r="N41" s="44" t="s">
        <v>138</v>
      </c>
    </row>
    <row r="42" spans="1:14" s="8" customFormat="1" ht="65.099999999999994" customHeight="1" x14ac:dyDescent="0.25">
      <c r="A42" s="91"/>
      <c r="B42" s="91"/>
      <c r="C42" s="91"/>
      <c r="D42" s="91"/>
      <c r="E42" s="92">
        <v>94</v>
      </c>
      <c r="F42" s="93" t="s">
        <v>198</v>
      </c>
      <c r="G42" s="93" t="s">
        <v>176</v>
      </c>
      <c r="H42" s="94">
        <v>55.73</v>
      </c>
      <c r="I42" s="94" t="e">
        <f>H42*O1</f>
        <v>#REF!</v>
      </c>
      <c r="J42" s="47"/>
      <c r="K42" s="44" t="s">
        <v>173</v>
      </c>
      <c r="L42" s="44" t="s">
        <v>87</v>
      </c>
      <c r="M42" s="49"/>
      <c r="N42" s="44" t="s">
        <v>138</v>
      </c>
    </row>
    <row r="43" spans="1:14" s="8" customFormat="1" ht="65.099999999999994" customHeight="1" x14ac:dyDescent="0.25">
      <c r="A43" s="91"/>
      <c r="B43" s="91"/>
      <c r="C43" s="91"/>
      <c r="D43" s="91"/>
      <c r="E43" s="95">
        <v>83</v>
      </c>
      <c r="F43" s="96" t="s">
        <v>199</v>
      </c>
      <c r="G43" s="96" t="s">
        <v>176</v>
      </c>
      <c r="H43" s="97">
        <v>55.73</v>
      </c>
      <c r="I43" s="97" t="e">
        <f>H43*O1</f>
        <v>#REF!</v>
      </c>
      <c r="J43" s="47"/>
      <c r="K43" s="44" t="s">
        <v>173</v>
      </c>
      <c r="L43" s="44" t="s">
        <v>87</v>
      </c>
      <c r="M43" s="49"/>
      <c r="N43" s="44" t="s">
        <v>138</v>
      </c>
    </row>
    <row r="44" spans="1:14" s="8" customFormat="1" ht="65.099999999999994" customHeight="1" x14ac:dyDescent="0.3">
      <c r="A44" s="91"/>
      <c r="B44" s="91"/>
      <c r="C44" s="91"/>
      <c r="D44" s="91"/>
      <c r="E44" s="95">
        <v>32</v>
      </c>
      <c r="F44" s="93" t="s">
        <v>222</v>
      </c>
      <c r="G44" s="96" t="s">
        <v>176</v>
      </c>
      <c r="H44" s="97">
        <v>55.73</v>
      </c>
      <c r="I44" s="97" t="e">
        <f>H44*O1</f>
        <v>#REF!</v>
      </c>
      <c r="J44" s="47"/>
      <c r="K44" s="41" t="s">
        <v>221</v>
      </c>
      <c r="L44" s="44" t="s">
        <v>87</v>
      </c>
      <c r="M44" s="49"/>
      <c r="N44" s="44" t="s">
        <v>138</v>
      </c>
    </row>
    <row r="45" spans="1:14" s="8" customFormat="1" ht="65.099999999999994" customHeight="1" x14ac:dyDescent="0.25">
      <c r="A45" s="84"/>
      <c r="B45" s="84"/>
      <c r="C45" s="84"/>
      <c r="D45" s="84"/>
      <c r="E45" s="85"/>
      <c r="F45" s="86" t="s">
        <v>196</v>
      </c>
      <c r="G45" s="86" t="s">
        <v>177</v>
      </c>
      <c r="H45" s="87">
        <v>67.819999999999993</v>
      </c>
      <c r="I45" s="87" t="e">
        <f>H45*O1</f>
        <v>#REF!</v>
      </c>
      <c r="J45" s="47"/>
      <c r="K45" s="44" t="s">
        <v>173</v>
      </c>
      <c r="L45" s="44" t="s">
        <v>87</v>
      </c>
      <c r="M45" s="49"/>
      <c r="N45" s="44" t="s">
        <v>138</v>
      </c>
    </row>
    <row r="46" spans="1:14" s="8" customFormat="1" ht="65.099999999999994" customHeight="1" x14ac:dyDescent="0.25">
      <c r="A46" s="84"/>
      <c r="B46" s="84"/>
      <c r="C46" s="84"/>
      <c r="D46" s="84"/>
      <c r="E46" s="88"/>
      <c r="F46" s="89" t="s">
        <v>197</v>
      </c>
      <c r="G46" s="89" t="s">
        <v>177</v>
      </c>
      <c r="H46" s="90">
        <v>67.819999999999993</v>
      </c>
      <c r="I46" s="90" t="e">
        <f>H46*O1</f>
        <v>#REF!</v>
      </c>
      <c r="J46" s="47"/>
      <c r="K46" s="44" t="s">
        <v>173</v>
      </c>
      <c r="L46" s="44" t="s">
        <v>87</v>
      </c>
      <c r="M46" s="49"/>
      <c r="N46" s="44" t="s">
        <v>138</v>
      </c>
    </row>
    <row r="47" spans="1:14" s="8" customFormat="1" ht="65.099999999999994" customHeight="1" x14ac:dyDescent="0.25">
      <c r="A47" s="84"/>
      <c r="B47" s="84"/>
      <c r="C47" s="84"/>
      <c r="D47" s="84"/>
      <c r="E47" s="85"/>
      <c r="F47" s="86" t="s">
        <v>198</v>
      </c>
      <c r="G47" s="86" t="s">
        <v>177</v>
      </c>
      <c r="H47" s="87">
        <v>67.819999999999993</v>
      </c>
      <c r="I47" s="87" t="e">
        <f>H47*O1</f>
        <v>#REF!</v>
      </c>
      <c r="J47" s="47"/>
      <c r="K47" s="44" t="s">
        <v>173</v>
      </c>
      <c r="L47" s="44" t="s">
        <v>87</v>
      </c>
      <c r="M47" s="49"/>
      <c r="N47" s="44" t="s">
        <v>138</v>
      </c>
    </row>
    <row r="48" spans="1:14" s="8" customFormat="1" ht="65.099999999999994" customHeight="1" x14ac:dyDescent="0.25">
      <c r="A48" s="84"/>
      <c r="B48" s="84"/>
      <c r="C48" s="84"/>
      <c r="D48" s="84"/>
      <c r="E48" s="88"/>
      <c r="F48" s="89" t="s">
        <v>199</v>
      </c>
      <c r="G48" s="89" t="s">
        <v>177</v>
      </c>
      <c r="H48" s="90">
        <v>67.819999999999993</v>
      </c>
      <c r="I48" s="90" t="e">
        <f>H48*O1</f>
        <v>#REF!</v>
      </c>
      <c r="J48" s="47"/>
      <c r="K48" s="44" t="s">
        <v>173</v>
      </c>
      <c r="L48" s="44" t="s">
        <v>87</v>
      </c>
      <c r="M48" s="49"/>
      <c r="N48" s="44" t="s">
        <v>138</v>
      </c>
    </row>
    <row r="49" spans="1:14" s="8" customFormat="1" ht="65.099999999999994" customHeight="1" x14ac:dyDescent="0.3">
      <c r="A49" s="84"/>
      <c r="B49" s="84"/>
      <c r="C49" s="84"/>
      <c r="D49" s="84"/>
      <c r="E49" s="88"/>
      <c r="F49" s="86" t="s">
        <v>222</v>
      </c>
      <c r="G49" s="89" t="s">
        <v>177</v>
      </c>
      <c r="H49" s="90">
        <v>67.819999999999993</v>
      </c>
      <c r="I49" s="90" t="e">
        <f>H49*O1</f>
        <v>#REF!</v>
      </c>
      <c r="J49" s="47"/>
      <c r="K49" s="41" t="s">
        <v>221</v>
      </c>
      <c r="L49" s="44" t="s">
        <v>87</v>
      </c>
      <c r="M49" s="49"/>
      <c r="N49" s="44" t="s">
        <v>138</v>
      </c>
    </row>
    <row r="50" spans="1:14" s="8" customFormat="1" ht="65.099999999999994" customHeight="1" x14ac:dyDescent="0.25">
      <c r="A50" s="72"/>
      <c r="B50" s="72"/>
      <c r="C50" s="72"/>
      <c r="D50" s="72"/>
      <c r="E50" s="73">
        <v>91</v>
      </c>
      <c r="F50" s="74" t="s">
        <v>200</v>
      </c>
      <c r="G50" s="74" t="s">
        <v>178</v>
      </c>
      <c r="H50" s="75">
        <v>29.13</v>
      </c>
      <c r="I50" s="90" t="e">
        <f>H50*O1</f>
        <v>#REF!</v>
      </c>
      <c r="J50" s="47"/>
      <c r="K50" s="44" t="s">
        <v>179</v>
      </c>
      <c r="L50" s="44" t="s">
        <v>174</v>
      </c>
      <c r="M50" s="49"/>
      <c r="N50" s="44" t="s">
        <v>135</v>
      </c>
    </row>
    <row r="51" spans="1:14" s="8" customFormat="1" ht="65.099999999999994" customHeight="1" x14ac:dyDescent="0.25">
      <c r="A51" s="72"/>
      <c r="B51" s="72"/>
      <c r="C51" s="72"/>
      <c r="D51" s="72"/>
      <c r="E51" s="76">
        <v>71</v>
      </c>
      <c r="F51" s="77" t="s">
        <v>202</v>
      </c>
      <c r="G51" s="77" t="s">
        <v>178</v>
      </c>
      <c r="H51" s="75">
        <v>29.13</v>
      </c>
      <c r="I51" s="90" t="e">
        <f>H51*O1</f>
        <v>#REF!</v>
      </c>
      <c r="J51" s="47"/>
      <c r="K51" s="44" t="s">
        <v>179</v>
      </c>
      <c r="L51" s="44" t="s">
        <v>174</v>
      </c>
      <c r="M51" s="49"/>
      <c r="N51" s="44" t="s">
        <v>135</v>
      </c>
    </row>
    <row r="52" spans="1:14" s="8" customFormat="1" ht="65.099999999999994" customHeight="1" x14ac:dyDescent="0.25">
      <c r="A52" s="72"/>
      <c r="B52" s="72"/>
      <c r="C52" s="72"/>
      <c r="D52" s="72"/>
      <c r="E52" s="73"/>
      <c r="F52" s="74" t="s">
        <v>201</v>
      </c>
      <c r="G52" s="74" t="s">
        <v>180</v>
      </c>
      <c r="H52" s="75">
        <v>34.42</v>
      </c>
      <c r="I52" s="75" t="e">
        <f>H52*O1</f>
        <v>#REF!</v>
      </c>
      <c r="J52" s="47"/>
      <c r="K52" s="44" t="s">
        <v>181</v>
      </c>
      <c r="L52" s="44" t="s">
        <v>174</v>
      </c>
      <c r="M52" s="49"/>
      <c r="N52" s="44" t="s">
        <v>135</v>
      </c>
    </row>
    <row r="53" spans="1:14" s="8" customFormat="1" ht="65.099999999999994" customHeight="1" x14ac:dyDescent="0.25">
      <c r="A53" s="72"/>
      <c r="B53" s="72"/>
      <c r="C53" s="72"/>
      <c r="D53" s="72"/>
      <c r="E53" s="76">
        <v>93</v>
      </c>
      <c r="F53" s="77" t="s">
        <v>201</v>
      </c>
      <c r="G53" s="77" t="s">
        <v>182</v>
      </c>
      <c r="H53" s="78">
        <v>34.76</v>
      </c>
      <c r="I53" s="78" t="e">
        <f>H53*O1</f>
        <v>#REF!</v>
      </c>
      <c r="J53" s="47"/>
      <c r="K53" s="44" t="s">
        <v>181</v>
      </c>
      <c r="L53" s="44" t="s">
        <v>87</v>
      </c>
      <c r="M53" s="49"/>
      <c r="N53" s="44" t="s">
        <v>138</v>
      </c>
    </row>
    <row r="54" spans="1:14" s="8" customFormat="1" ht="65.099999999999994" customHeight="1" x14ac:dyDescent="0.25">
      <c r="A54" s="72"/>
      <c r="B54" s="72"/>
      <c r="C54" s="72"/>
      <c r="D54" s="72"/>
      <c r="E54" s="73"/>
      <c r="F54" s="74" t="s">
        <v>201</v>
      </c>
      <c r="G54" s="74" t="s">
        <v>183</v>
      </c>
      <c r="H54" s="75">
        <v>28.9</v>
      </c>
      <c r="I54" s="75" t="e">
        <f>H54*O1</f>
        <v>#REF!</v>
      </c>
      <c r="J54" s="47"/>
      <c r="K54" s="44" t="s">
        <v>181</v>
      </c>
      <c r="L54" s="44" t="s">
        <v>87</v>
      </c>
      <c r="M54" s="49">
        <v>30</v>
      </c>
      <c r="N54" s="44" t="s">
        <v>138</v>
      </c>
    </row>
    <row r="55" spans="1:14" s="8" customFormat="1" ht="65.099999999999994" customHeight="1" x14ac:dyDescent="0.25">
      <c r="A55" s="72"/>
      <c r="B55" s="72"/>
      <c r="C55" s="72"/>
      <c r="D55" s="72"/>
      <c r="E55" s="76"/>
      <c r="F55" s="77" t="s">
        <v>202</v>
      </c>
      <c r="G55" s="77" t="s">
        <v>184</v>
      </c>
      <c r="H55" s="78">
        <v>51.08</v>
      </c>
      <c r="I55" s="78" t="e">
        <f>H55*O1</f>
        <v>#REF!</v>
      </c>
      <c r="J55" s="47"/>
      <c r="K55" s="44" t="s">
        <v>185</v>
      </c>
      <c r="L55" s="44" t="s">
        <v>174</v>
      </c>
      <c r="M55" s="49">
        <v>30</v>
      </c>
      <c r="N55" s="44" t="s">
        <v>135</v>
      </c>
    </row>
    <row r="56" spans="1:14" s="8" customFormat="1" ht="65.099999999999994" customHeight="1" x14ac:dyDescent="0.25">
      <c r="A56" s="72"/>
      <c r="B56" s="72"/>
      <c r="C56" s="72"/>
      <c r="D56" s="72"/>
      <c r="E56" s="73">
        <v>75</v>
      </c>
      <c r="F56" s="74" t="s">
        <v>202</v>
      </c>
      <c r="G56" s="74" t="s">
        <v>186</v>
      </c>
      <c r="H56" s="75">
        <v>19.809999999999999</v>
      </c>
      <c r="I56" s="75" t="e">
        <f>H56*O1</f>
        <v>#REF!</v>
      </c>
      <c r="J56" s="47"/>
      <c r="K56" s="44" t="s">
        <v>185</v>
      </c>
      <c r="L56" s="44" t="s">
        <v>87</v>
      </c>
      <c r="M56" s="49"/>
      <c r="N56" s="44" t="s">
        <v>138</v>
      </c>
    </row>
    <row r="57" spans="1:14" s="8" customFormat="1" ht="65.099999999999994" customHeight="1" x14ac:dyDescent="0.25">
      <c r="A57" s="72"/>
      <c r="B57" s="72"/>
      <c r="C57" s="72"/>
      <c r="D57" s="72"/>
      <c r="E57" s="76"/>
      <c r="F57" s="77" t="s">
        <v>202</v>
      </c>
      <c r="G57" s="77" t="s">
        <v>187</v>
      </c>
      <c r="H57" s="78">
        <v>49.27</v>
      </c>
      <c r="I57" s="78" t="e">
        <f>H57*O1</f>
        <v>#REF!</v>
      </c>
      <c r="J57" s="47"/>
      <c r="K57" s="44" t="s">
        <v>185</v>
      </c>
      <c r="L57" s="44" t="s">
        <v>87</v>
      </c>
      <c r="M57" s="49">
        <v>30</v>
      </c>
      <c r="N57" s="44" t="s">
        <v>138</v>
      </c>
    </row>
    <row r="58" spans="1:14" s="143" customFormat="1" ht="65.099999999999994" customHeight="1" x14ac:dyDescent="0.3">
      <c r="A58" s="105"/>
      <c r="B58" s="105"/>
      <c r="C58" s="105"/>
      <c r="D58" s="105"/>
      <c r="E58" s="106">
        <v>82</v>
      </c>
      <c r="F58" s="107" t="s">
        <v>260</v>
      </c>
      <c r="G58" s="107" t="s">
        <v>172</v>
      </c>
      <c r="H58" s="108">
        <v>36.42</v>
      </c>
      <c r="I58" s="78" t="e">
        <f>H58*O1</f>
        <v>#REF!</v>
      </c>
      <c r="J58" s="47"/>
      <c r="K58" s="41" t="s">
        <v>173</v>
      </c>
      <c r="L58" s="44" t="s">
        <v>174</v>
      </c>
      <c r="M58" s="49">
        <v>15</v>
      </c>
      <c r="N58" s="44" t="s">
        <v>135</v>
      </c>
    </row>
    <row r="59" spans="1:14" s="8" customFormat="1" ht="65.099999999999994" customHeight="1" x14ac:dyDescent="0.25">
      <c r="A59" s="64"/>
      <c r="B59" s="64"/>
      <c r="C59" s="64"/>
      <c r="D59" s="64"/>
      <c r="E59" s="65"/>
      <c r="F59" s="66" t="s">
        <v>203</v>
      </c>
      <c r="G59" s="66" t="s">
        <v>188</v>
      </c>
      <c r="H59" s="67">
        <v>269.17</v>
      </c>
      <c r="I59" s="78" t="e">
        <f>H59*O1</f>
        <v>#REF!</v>
      </c>
      <c r="J59" s="47"/>
      <c r="K59" s="44" t="s">
        <v>189</v>
      </c>
      <c r="L59" s="44" t="s">
        <v>174</v>
      </c>
      <c r="M59" s="49">
        <v>25</v>
      </c>
      <c r="N59" s="44" t="s">
        <v>190</v>
      </c>
    </row>
    <row r="60" spans="1:14" s="8" customFormat="1" ht="65.099999999999994" customHeight="1" x14ac:dyDescent="0.25">
      <c r="A60" s="64"/>
      <c r="B60" s="64"/>
      <c r="C60" s="64"/>
      <c r="D60" s="64"/>
      <c r="E60" s="69">
        <v>101</v>
      </c>
      <c r="F60" s="70" t="s">
        <v>203</v>
      </c>
      <c r="G60" s="70" t="s">
        <v>191</v>
      </c>
      <c r="H60" s="71">
        <v>215.33</v>
      </c>
      <c r="I60" s="71" t="e">
        <f>H60*O1</f>
        <v>#REF!</v>
      </c>
      <c r="J60" s="47"/>
      <c r="K60" s="44" t="s">
        <v>189</v>
      </c>
      <c r="L60" s="44" t="s">
        <v>174</v>
      </c>
      <c r="M60" s="49">
        <v>30</v>
      </c>
      <c r="N60" s="44" t="s">
        <v>192</v>
      </c>
    </row>
    <row r="61" spans="1:14" s="8" customFormat="1" ht="65.099999999999994" customHeight="1" x14ac:dyDescent="0.25">
      <c r="A61" s="64"/>
      <c r="B61" s="64"/>
      <c r="C61" s="64"/>
      <c r="D61" s="64"/>
      <c r="E61" s="65"/>
      <c r="F61" s="66" t="s">
        <v>204</v>
      </c>
      <c r="G61" s="66" t="s">
        <v>193</v>
      </c>
      <c r="H61" s="67">
        <v>327.75</v>
      </c>
      <c r="I61" s="78" t="e">
        <f>H61*O1</f>
        <v>#REF!</v>
      </c>
      <c r="J61" s="47"/>
      <c r="K61" s="44" t="s">
        <v>194</v>
      </c>
      <c r="L61" s="44" t="s">
        <v>174</v>
      </c>
      <c r="M61" s="49">
        <v>25</v>
      </c>
      <c r="N61" s="44" t="s">
        <v>190</v>
      </c>
    </row>
    <row r="62" spans="1:14" s="8" customFormat="1" ht="65.099999999999994" customHeight="1" x14ac:dyDescent="0.25">
      <c r="A62" s="64"/>
      <c r="B62" s="64"/>
      <c r="C62" s="64"/>
      <c r="D62" s="64"/>
      <c r="E62" s="69">
        <v>102</v>
      </c>
      <c r="F62" s="70" t="s">
        <v>204</v>
      </c>
      <c r="G62" s="70" t="s">
        <v>195</v>
      </c>
      <c r="H62" s="71">
        <v>256.45</v>
      </c>
      <c r="I62" s="71" t="e">
        <f>H62*O1</f>
        <v>#REF!</v>
      </c>
      <c r="J62" s="47"/>
      <c r="K62" s="44" t="s">
        <v>194</v>
      </c>
      <c r="L62" s="44" t="s">
        <v>174</v>
      </c>
      <c r="M62" s="49">
        <v>30</v>
      </c>
      <c r="N62" s="44" t="s">
        <v>192</v>
      </c>
    </row>
    <row r="63" spans="1:14" s="213" customFormat="1" ht="65.099999999999994" customHeight="1" x14ac:dyDescent="0.25">
      <c r="A63" s="91"/>
      <c r="B63" s="91"/>
      <c r="C63" s="91"/>
      <c r="D63" s="91"/>
      <c r="E63" s="92">
        <v>84</v>
      </c>
      <c r="F63" s="93" t="s">
        <v>260</v>
      </c>
      <c r="G63" s="93" t="s">
        <v>176</v>
      </c>
      <c r="H63" s="94">
        <v>55.73</v>
      </c>
      <c r="I63" s="94">
        <f>H63*O24</f>
        <v>0</v>
      </c>
      <c r="J63" s="47"/>
      <c r="K63" s="44" t="s">
        <v>173</v>
      </c>
      <c r="L63" s="44" t="s">
        <v>87</v>
      </c>
      <c r="M63" s="49"/>
      <c r="N63" s="44" t="s">
        <v>138</v>
      </c>
    </row>
    <row r="66" spans="1:25" x14ac:dyDescent="0.25">
      <c r="A66" s="49" t="str">
        <f>R66&amp;U66&amp;T66</f>
        <v>4.1.1.</v>
      </c>
      <c r="B66" s="551" t="str">
        <f>IF($C$83=Лист3!$A$135,VLOOKUP(U66,Датчики!$E$3:$I$62,2,0))</f>
        <v>Датчик-реле перепада давления, с комплектом монтажных частей, контроль работы вентилятора</v>
      </c>
      <c r="C66" s="552"/>
      <c r="D66" s="552"/>
      <c r="E66" s="552"/>
      <c r="F66" s="552"/>
      <c r="G66" s="552"/>
      <c r="H66" s="552"/>
      <c r="I66" s="553"/>
      <c r="J66" s="554" t="str">
        <f>IF($C$83=Лист3!$A$135,VLOOKUP(U66,Датчики!$E$3:$I$62,3,0))</f>
        <v>PREMASREG 
DS-205 D
(100…1000Па)</v>
      </c>
      <c r="K66" s="555"/>
      <c r="L66" s="555"/>
      <c r="M66" s="555"/>
      <c r="N66" s="555"/>
      <c r="O66" s="555"/>
      <c r="P66" s="556"/>
      <c r="Q66" s="142" t="e">
        <f>Y66</f>
        <v>#REF!</v>
      </c>
      <c r="R66" s="50" t="s">
        <v>205</v>
      </c>
      <c r="S66" s="50">
        <v>1</v>
      </c>
      <c r="T66" s="50" t="s">
        <v>206</v>
      </c>
      <c r="U66" s="50">
        <f>SUM(S64:S66)</f>
        <v>1</v>
      </c>
      <c r="V66" s="53">
        <f>IF($C$83=Лист3!$A$135,VLOOKUP(U66,Датчики!$E$3:$I$62,4,0))</f>
        <v>39.61</v>
      </c>
      <c r="W66" s="54" t="e">
        <f>IF($C$83=Лист3!$A$135,VLOOKUP(U66,Датчики!$E$3:$I$62,5,0))</f>
        <v>#REF!</v>
      </c>
      <c r="X66" s="8"/>
      <c r="Y66" s="8" t="e">
        <f>VLOOKUP(#REF!,Лист3!A15:D21,4,0)</f>
        <v>#REF!</v>
      </c>
    </row>
    <row r="90" spans="2:18" x14ac:dyDescent="0.25">
      <c r="B90" s="145"/>
      <c r="C90" s="145"/>
      <c r="D90" s="145"/>
      <c r="E90" s="145"/>
      <c r="F90" s="145"/>
      <c r="G90" s="145"/>
      <c r="H90" s="145"/>
      <c r="I90" s="145"/>
      <c r="R90">
        <v>3</v>
      </c>
    </row>
    <row r="93" spans="2:18" x14ac:dyDescent="0.25">
      <c r="B93" s="549"/>
      <c r="C93" s="549"/>
      <c r="D93" s="549"/>
      <c r="E93" s="549"/>
      <c r="F93" s="549"/>
      <c r="G93" s="549"/>
      <c r="H93" s="549"/>
      <c r="I93" s="549"/>
      <c r="J93" s="550"/>
      <c r="K93" s="550"/>
      <c r="L93" s="550"/>
      <c r="M93" s="550"/>
      <c r="N93" s="550"/>
      <c r="O93" s="550"/>
      <c r="P93" s="550"/>
    </row>
  </sheetData>
  <mergeCells count="10">
    <mergeCell ref="B93:I93"/>
    <mergeCell ref="J93:P93"/>
    <mergeCell ref="B66:I66"/>
    <mergeCell ref="J66:P66"/>
    <mergeCell ref="M1:M2"/>
    <mergeCell ref="F1:F2"/>
    <mergeCell ref="G1:G2"/>
    <mergeCell ref="H1:I1"/>
    <mergeCell ref="K1:K2"/>
    <mergeCell ref="L1:L2"/>
  </mergeCells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F87"/>
  <sheetViews>
    <sheetView topLeftCell="A61" workbookViewId="0">
      <selection activeCell="A88" sqref="A88"/>
    </sheetView>
  </sheetViews>
  <sheetFormatPr defaultRowHeight="15" x14ac:dyDescent="0.25"/>
  <cols>
    <col min="1" max="1" width="97.85546875" customWidth="1"/>
    <col min="2" max="2" width="97" customWidth="1"/>
    <col min="3" max="3" width="12.140625" style="215" customWidth="1"/>
    <col min="4" max="4" width="17.140625" style="215" customWidth="1"/>
    <col min="5" max="5" width="16.7109375" style="215" customWidth="1"/>
    <col min="6" max="6" width="18.7109375" style="215" customWidth="1"/>
  </cols>
  <sheetData>
    <row r="1" spans="1:5" x14ac:dyDescent="0.25">
      <c r="A1" t="s">
        <v>416</v>
      </c>
    </row>
    <row r="2" spans="1:5" ht="30" x14ac:dyDescent="0.25">
      <c r="A2" t="s">
        <v>419</v>
      </c>
      <c r="C2" s="1" t="s">
        <v>417</v>
      </c>
      <c r="D2" s="215" t="s">
        <v>454</v>
      </c>
      <c r="E2" s="215" t="s">
        <v>418</v>
      </c>
    </row>
    <row r="3" spans="1:5" ht="20.100000000000001" customHeight="1" x14ac:dyDescent="0.3">
      <c r="A3" s="41" t="s">
        <v>581</v>
      </c>
      <c r="B3" s="41" t="s">
        <v>420</v>
      </c>
      <c r="C3" s="215">
        <v>220</v>
      </c>
      <c r="D3" s="216" t="s">
        <v>425</v>
      </c>
      <c r="E3" s="217">
        <f>117.49+26.69</f>
        <v>144.18</v>
      </c>
    </row>
    <row r="4" spans="1:5" ht="20.100000000000001" customHeight="1" x14ac:dyDescent="0.3">
      <c r="A4" s="41" t="s">
        <v>582</v>
      </c>
      <c r="B4" s="41" t="s">
        <v>421</v>
      </c>
      <c r="C4" s="215">
        <v>220</v>
      </c>
      <c r="D4" s="216" t="s">
        <v>426</v>
      </c>
      <c r="E4" s="217">
        <f>126.62+26.69</f>
        <v>153.31</v>
      </c>
    </row>
    <row r="5" spans="1:5" ht="20.100000000000001" customHeight="1" x14ac:dyDescent="0.3">
      <c r="A5" s="41" t="s">
        <v>583</v>
      </c>
      <c r="B5" s="41" t="s">
        <v>422</v>
      </c>
      <c r="C5" s="215">
        <v>220</v>
      </c>
      <c r="D5" s="216" t="s">
        <v>427</v>
      </c>
      <c r="E5" s="217">
        <f>144.89+26.69</f>
        <v>171.57999999999998</v>
      </c>
    </row>
    <row r="6" spans="1:5" ht="20.100000000000001" customHeight="1" x14ac:dyDescent="0.3">
      <c r="A6" s="41" t="s">
        <v>584</v>
      </c>
      <c r="B6" s="41" t="s">
        <v>423</v>
      </c>
      <c r="C6" s="215">
        <v>220</v>
      </c>
      <c r="D6" s="216" t="s">
        <v>428</v>
      </c>
      <c r="E6" s="217">
        <f>180.16+26.69</f>
        <v>206.85</v>
      </c>
    </row>
    <row r="7" spans="1:5" ht="20.100000000000001" customHeight="1" x14ac:dyDescent="0.3">
      <c r="A7" s="41" t="s">
        <v>585</v>
      </c>
      <c r="B7" s="41" t="s">
        <v>424</v>
      </c>
      <c r="C7" s="215">
        <v>220</v>
      </c>
      <c r="D7" s="216" t="s">
        <v>429</v>
      </c>
      <c r="E7" s="217">
        <f>243.11+26.69</f>
        <v>269.8</v>
      </c>
    </row>
    <row r="9" spans="1:5" ht="16.5" x14ac:dyDescent="0.3">
      <c r="A9" s="41" t="s">
        <v>586</v>
      </c>
      <c r="B9" s="41" t="s">
        <v>430</v>
      </c>
      <c r="C9" s="215">
        <v>380</v>
      </c>
      <c r="D9" s="41" t="s">
        <v>442</v>
      </c>
      <c r="E9" s="217">
        <f>179.09+26.69</f>
        <v>205.78</v>
      </c>
    </row>
    <row r="10" spans="1:5" ht="16.5" x14ac:dyDescent="0.3">
      <c r="A10" s="41" t="s">
        <v>587</v>
      </c>
      <c r="B10" s="41" t="s">
        <v>431</v>
      </c>
      <c r="C10" s="215">
        <v>380</v>
      </c>
      <c r="D10" s="41" t="s">
        <v>443</v>
      </c>
      <c r="E10" s="217">
        <f>192.64+26.69</f>
        <v>219.32999999999998</v>
      </c>
    </row>
    <row r="11" spans="1:5" ht="16.5" x14ac:dyDescent="0.3">
      <c r="A11" s="41" t="s">
        <v>588</v>
      </c>
      <c r="B11" s="41" t="s">
        <v>432</v>
      </c>
      <c r="C11" s="215">
        <v>380</v>
      </c>
      <c r="D11" s="41" t="s">
        <v>444</v>
      </c>
      <c r="E11" s="217">
        <f>236.98+26.69</f>
        <v>263.67</v>
      </c>
    </row>
    <row r="12" spans="1:5" ht="16.5" x14ac:dyDescent="0.3">
      <c r="A12" s="41" t="s">
        <v>589</v>
      </c>
      <c r="B12" s="41" t="s">
        <v>433</v>
      </c>
      <c r="C12" s="215">
        <v>380</v>
      </c>
      <c r="D12" s="41" t="s">
        <v>445</v>
      </c>
      <c r="E12" s="217">
        <f>264.84+26.69</f>
        <v>291.52999999999997</v>
      </c>
    </row>
    <row r="13" spans="1:5" ht="16.5" x14ac:dyDescent="0.3">
      <c r="A13" s="41" t="s">
        <v>590</v>
      </c>
      <c r="B13" s="41" t="s">
        <v>434</v>
      </c>
      <c r="C13" s="215">
        <v>380</v>
      </c>
      <c r="D13" s="41" t="s">
        <v>446</v>
      </c>
      <c r="E13" s="217">
        <f>292.18+26.69</f>
        <v>318.87</v>
      </c>
    </row>
    <row r="14" spans="1:5" ht="16.5" x14ac:dyDescent="0.3">
      <c r="A14" s="41" t="s">
        <v>591</v>
      </c>
      <c r="B14" s="41" t="s">
        <v>435</v>
      </c>
      <c r="C14" s="215">
        <v>380</v>
      </c>
      <c r="D14" s="41" t="s">
        <v>447</v>
      </c>
      <c r="E14" s="217">
        <f>314.11+26.69</f>
        <v>340.8</v>
      </c>
    </row>
    <row r="15" spans="1:5" ht="16.5" x14ac:dyDescent="0.3">
      <c r="A15" s="41" t="s">
        <v>592</v>
      </c>
      <c r="B15" s="41" t="s">
        <v>436</v>
      </c>
      <c r="C15" s="215">
        <v>380</v>
      </c>
      <c r="D15" s="41" t="s">
        <v>448</v>
      </c>
      <c r="E15" s="217">
        <f>423.87+26.69</f>
        <v>450.56</v>
      </c>
    </row>
    <row r="16" spans="1:5" ht="16.5" x14ac:dyDescent="0.3">
      <c r="A16" s="41" t="s">
        <v>593</v>
      </c>
      <c r="B16" s="41" t="s">
        <v>437</v>
      </c>
      <c r="C16" s="215">
        <v>380</v>
      </c>
      <c r="D16" s="41" t="s">
        <v>449</v>
      </c>
      <c r="E16" s="217">
        <f>497.51+26.69</f>
        <v>524.20000000000005</v>
      </c>
    </row>
    <row r="17" spans="1:5" ht="16.5" x14ac:dyDescent="0.3">
      <c r="A17" s="41" t="s">
        <v>594</v>
      </c>
      <c r="B17" s="41" t="s">
        <v>438</v>
      </c>
      <c r="C17" s="215">
        <v>380</v>
      </c>
      <c r="D17" s="41" t="s">
        <v>450</v>
      </c>
      <c r="E17" s="217">
        <f>693.69+26.69</f>
        <v>720.38000000000011</v>
      </c>
    </row>
    <row r="18" spans="1:5" ht="16.5" x14ac:dyDescent="0.3">
      <c r="A18" s="41" t="s">
        <v>595</v>
      </c>
      <c r="B18" s="41" t="s">
        <v>439</v>
      </c>
      <c r="C18" s="215">
        <v>380</v>
      </c>
      <c r="D18" s="41" t="s">
        <v>451</v>
      </c>
      <c r="E18" s="217">
        <f>883.58+26.69</f>
        <v>910.2700000000001</v>
      </c>
    </row>
    <row r="19" spans="1:5" ht="16.5" x14ac:dyDescent="0.3">
      <c r="A19" s="41" t="s">
        <v>596</v>
      </c>
      <c r="B19" s="41" t="s">
        <v>440</v>
      </c>
      <c r="C19" s="215">
        <v>380</v>
      </c>
      <c r="D19" s="41" t="s">
        <v>452</v>
      </c>
      <c r="E19" s="217">
        <f>1091.96+26.69</f>
        <v>1118.6500000000001</v>
      </c>
    </row>
    <row r="20" spans="1:5" ht="16.5" x14ac:dyDescent="0.3">
      <c r="A20" s="41" t="s">
        <v>597</v>
      </c>
      <c r="B20" s="41" t="s">
        <v>441</v>
      </c>
      <c r="C20" s="215">
        <v>380</v>
      </c>
      <c r="D20" s="41" t="s">
        <v>453</v>
      </c>
      <c r="E20" s="217">
        <f>1362.91+26.69</f>
        <v>1389.6000000000001</v>
      </c>
    </row>
    <row r="22" spans="1:5" ht="16.5" x14ac:dyDescent="0.3">
      <c r="A22" s="41" t="s">
        <v>598</v>
      </c>
      <c r="B22" s="41" t="s">
        <v>473</v>
      </c>
      <c r="C22" s="215">
        <v>380</v>
      </c>
      <c r="D22" s="41" t="s">
        <v>455</v>
      </c>
      <c r="E22" s="217">
        <f>319.64+76.93</f>
        <v>396.57</v>
      </c>
    </row>
    <row r="23" spans="1:5" ht="16.5" x14ac:dyDescent="0.3">
      <c r="A23" s="41" t="s">
        <v>599</v>
      </c>
      <c r="B23" s="41" t="s">
        <v>474</v>
      </c>
      <c r="C23" s="215">
        <v>380</v>
      </c>
      <c r="D23" s="216" t="s">
        <v>456</v>
      </c>
      <c r="E23" s="217">
        <f>369.98+76.93</f>
        <v>446.91</v>
      </c>
    </row>
    <row r="24" spans="1:5" ht="16.5" x14ac:dyDescent="0.3">
      <c r="A24" s="41" t="s">
        <v>600</v>
      </c>
      <c r="B24" s="41" t="s">
        <v>475</v>
      </c>
      <c r="C24" s="215">
        <v>380</v>
      </c>
      <c r="D24" s="216" t="s">
        <v>457</v>
      </c>
      <c r="E24" s="217">
        <f>491.76+76.93</f>
        <v>568.69000000000005</v>
      </c>
    </row>
    <row r="25" spans="1:5" ht="16.5" x14ac:dyDescent="0.3">
      <c r="A25" s="41" t="s">
        <v>601</v>
      </c>
      <c r="B25" s="41" t="s">
        <v>476</v>
      </c>
      <c r="C25" s="215">
        <v>380</v>
      </c>
      <c r="D25" s="218" t="s">
        <v>458</v>
      </c>
      <c r="E25" s="217">
        <f>598.29+76.93</f>
        <v>675.22</v>
      </c>
    </row>
    <row r="26" spans="1:5" ht="16.5" x14ac:dyDescent="0.3">
      <c r="A26" s="41" t="s">
        <v>602</v>
      </c>
      <c r="B26" s="41" t="s">
        <v>477</v>
      </c>
      <c r="C26" s="215">
        <v>380</v>
      </c>
      <c r="D26" s="216" t="s">
        <v>459</v>
      </c>
      <c r="E26" s="217">
        <f>669.73+76.93</f>
        <v>746.66000000000008</v>
      </c>
    </row>
    <row r="27" spans="1:5" ht="16.5" x14ac:dyDescent="0.3">
      <c r="A27" s="41" t="s">
        <v>603</v>
      </c>
      <c r="B27" s="41" t="s">
        <v>478</v>
      </c>
      <c r="C27" s="215">
        <v>380</v>
      </c>
      <c r="D27" s="216" t="s">
        <v>460</v>
      </c>
      <c r="E27" s="217">
        <f>715.38+76.93</f>
        <v>792.31</v>
      </c>
    </row>
    <row r="28" spans="1:5" ht="16.5" x14ac:dyDescent="0.3">
      <c r="A28" s="41" t="s">
        <v>604</v>
      </c>
      <c r="B28" s="41" t="s">
        <v>479</v>
      </c>
      <c r="C28" s="215">
        <v>380</v>
      </c>
      <c r="D28" s="216" t="s">
        <v>461</v>
      </c>
      <c r="E28" s="217">
        <f>827.78+76.93</f>
        <v>904.71</v>
      </c>
    </row>
    <row r="29" spans="1:5" ht="16.5" x14ac:dyDescent="0.3">
      <c r="A29" s="41" t="s">
        <v>605</v>
      </c>
      <c r="B29" s="41" t="s">
        <v>480</v>
      </c>
      <c r="C29" s="215">
        <v>380</v>
      </c>
      <c r="D29" s="216" t="s">
        <v>462</v>
      </c>
      <c r="E29" s="217">
        <f>932+76.93</f>
        <v>1008.9300000000001</v>
      </c>
    </row>
    <row r="30" spans="1:5" ht="16.5" x14ac:dyDescent="0.3">
      <c r="A30" s="41" t="s">
        <v>606</v>
      </c>
      <c r="B30" s="41" t="s">
        <v>481</v>
      </c>
      <c r="C30" s="215">
        <v>380</v>
      </c>
      <c r="D30" s="216" t="s">
        <v>463</v>
      </c>
      <c r="E30" s="217">
        <f>1197.78+76.93</f>
        <v>1274.71</v>
      </c>
    </row>
    <row r="31" spans="1:5" ht="16.5" x14ac:dyDescent="0.3">
      <c r="A31" s="41" t="s">
        <v>607</v>
      </c>
      <c r="B31" s="41" t="s">
        <v>482</v>
      </c>
      <c r="C31" s="215">
        <v>380</v>
      </c>
      <c r="D31" s="216" t="s">
        <v>464</v>
      </c>
      <c r="E31" s="217">
        <f>1372.24+76.93</f>
        <v>1449.17</v>
      </c>
    </row>
    <row r="32" spans="1:5" ht="16.5" x14ac:dyDescent="0.3">
      <c r="A32" s="41" t="s">
        <v>608</v>
      </c>
      <c r="B32" s="41" t="s">
        <v>483</v>
      </c>
      <c r="C32" s="215">
        <v>380</v>
      </c>
      <c r="D32" s="216" t="s">
        <v>465</v>
      </c>
      <c r="E32" s="217">
        <f>1731.71+76.93</f>
        <v>1808.64</v>
      </c>
    </row>
    <row r="33" spans="1:5" ht="16.5" x14ac:dyDescent="0.3">
      <c r="A33" s="41" t="s">
        <v>609</v>
      </c>
      <c r="B33" s="41" t="s">
        <v>484</v>
      </c>
      <c r="C33" s="215">
        <v>380</v>
      </c>
      <c r="D33" s="216" t="s">
        <v>466</v>
      </c>
      <c r="E33" s="217">
        <f>2032.58+76.93</f>
        <v>2109.5099999999998</v>
      </c>
    </row>
    <row r="34" spans="1:5" ht="16.5" x14ac:dyDescent="0.3">
      <c r="A34" s="41" t="s">
        <v>610</v>
      </c>
      <c r="B34" s="41" t="s">
        <v>485</v>
      </c>
      <c r="C34" s="215">
        <v>380</v>
      </c>
      <c r="D34" s="216" t="s">
        <v>467</v>
      </c>
      <c r="E34" s="217">
        <f>2606.24+76.93</f>
        <v>2683.1699999999996</v>
      </c>
    </row>
    <row r="35" spans="1:5" ht="16.5" x14ac:dyDescent="0.3">
      <c r="A35" s="41" t="s">
        <v>611</v>
      </c>
      <c r="B35" s="41" t="s">
        <v>486</v>
      </c>
      <c r="C35" s="215">
        <v>380</v>
      </c>
      <c r="D35" s="216" t="s">
        <v>468</v>
      </c>
      <c r="E35" s="217">
        <f>3226.51+76.93</f>
        <v>3303.44</v>
      </c>
    </row>
    <row r="36" spans="1:5" ht="16.5" x14ac:dyDescent="0.3">
      <c r="A36" s="41" t="s">
        <v>612</v>
      </c>
      <c r="B36" s="41" t="s">
        <v>487</v>
      </c>
      <c r="C36" s="215">
        <v>380</v>
      </c>
      <c r="D36" s="216" t="s">
        <v>469</v>
      </c>
      <c r="E36" s="217">
        <f>3956.02+76.93</f>
        <v>4032.95</v>
      </c>
    </row>
    <row r="37" spans="1:5" ht="16.5" x14ac:dyDescent="0.3">
      <c r="A37" s="41" t="s">
        <v>613</v>
      </c>
      <c r="B37" s="41" t="s">
        <v>488</v>
      </c>
      <c r="C37" s="215">
        <v>380</v>
      </c>
      <c r="D37" s="216" t="s">
        <v>470</v>
      </c>
      <c r="E37" s="217">
        <f>4809.91+76.93</f>
        <v>4886.84</v>
      </c>
    </row>
    <row r="38" spans="1:5" ht="16.5" x14ac:dyDescent="0.3">
      <c r="A38" s="41" t="s">
        <v>614</v>
      </c>
      <c r="B38" s="41" t="s">
        <v>489</v>
      </c>
      <c r="C38" s="215">
        <v>380</v>
      </c>
      <c r="D38" s="216" t="s">
        <v>471</v>
      </c>
      <c r="E38" s="217">
        <f>5566.29+76.93</f>
        <v>5643.22</v>
      </c>
    </row>
    <row r="39" spans="1:5" ht="16.5" x14ac:dyDescent="0.3">
      <c r="A39" s="41" t="s">
        <v>615</v>
      </c>
      <c r="B39" s="41" t="s">
        <v>490</v>
      </c>
      <c r="C39" s="215">
        <v>380</v>
      </c>
      <c r="D39" s="216" t="s">
        <v>472</v>
      </c>
      <c r="E39" s="217">
        <f>6532.67+76.93</f>
        <v>6609.6</v>
      </c>
    </row>
    <row r="41" spans="1:5" ht="16.5" x14ac:dyDescent="0.3">
      <c r="A41" s="41" t="s">
        <v>616</v>
      </c>
      <c r="B41" s="41" t="s">
        <v>491</v>
      </c>
      <c r="C41" s="215">
        <v>380</v>
      </c>
      <c r="D41" s="216" t="s">
        <v>508</v>
      </c>
      <c r="E41" s="217">
        <v>480.04</v>
      </c>
    </row>
    <row r="42" spans="1:5" ht="16.5" x14ac:dyDescent="0.3">
      <c r="A42" s="41" t="s">
        <v>617</v>
      </c>
      <c r="B42" s="41" t="s">
        <v>492</v>
      </c>
      <c r="C42" s="215">
        <v>380</v>
      </c>
      <c r="D42" s="216" t="s">
        <v>509</v>
      </c>
      <c r="E42" s="217">
        <v>595.98</v>
      </c>
    </row>
    <row r="43" spans="1:5" ht="16.5" x14ac:dyDescent="0.3">
      <c r="A43" s="41" t="s">
        <v>618</v>
      </c>
      <c r="B43" s="41" t="s">
        <v>493</v>
      </c>
      <c r="C43" s="215">
        <v>380</v>
      </c>
      <c r="D43" s="216" t="s">
        <v>510</v>
      </c>
      <c r="E43" s="217">
        <v>724.76</v>
      </c>
    </row>
    <row r="44" spans="1:5" ht="16.5" x14ac:dyDescent="0.3">
      <c r="A44" s="41" t="s">
        <v>619</v>
      </c>
      <c r="B44" s="41" t="s">
        <v>494</v>
      </c>
      <c r="C44" s="215">
        <v>380</v>
      </c>
      <c r="D44" s="216" t="s">
        <v>511</v>
      </c>
      <c r="E44" s="217">
        <v>792.69</v>
      </c>
    </row>
    <row r="45" spans="1:5" ht="16.5" x14ac:dyDescent="0.3">
      <c r="A45" s="41" t="s">
        <v>620</v>
      </c>
      <c r="B45" s="41" t="s">
        <v>495</v>
      </c>
      <c r="C45" s="215">
        <v>380</v>
      </c>
      <c r="D45" s="216" t="s">
        <v>512</v>
      </c>
      <c r="E45" s="217">
        <v>835.98</v>
      </c>
    </row>
    <row r="46" spans="1:5" ht="16.5" x14ac:dyDescent="0.3">
      <c r="A46" s="41" t="s">
        <v>621</v>
      </c>
      <c r="B46" s="41" t="s">
        <v>496</v>
      </c>
      <c r="C46" s="215">
        <v>380</v>
      </c>
      <c r="D46" s="216" t="s">
        <v>513</v>
      </c>
      <c r="E46" s="217">
        <v>937.87</v>
      </c>
    </row>
    <row r="47" spans="1:5" ht="16.5" x14ac:dyDescent="0.3">
      <c r="A47" s="41" t="s">
        <v>622</v>
      </c>
      <c r="B47" s="41" t="s">
        <v>497</v>
      </c>
      <c r="C47" s="215">
        <v>380</v>
      </c>
      <c r="D47" s="216" t="s">
        <v>514</v>
      </c>
      <c r="E47" s="217">
        <v>1063.1600000000001</v>
      </c>
    </row>
    <row r="48" spans="1:5" ht="16.5" x14ac:dyDescent="0.3">
      <c r="A48" s="41" t="s">
        <v>623</v>
      </c>
      <c r="B48" s="41" t="s">
        <v>498</v>
      </c>
      <c r="C48" s="215">
        <v>380</v>
      </c>
      <c r="D48" s="216" t="s">
        <v>515</v>
      </c>
      <c r="E48" s="217">
        <v>1428.42</v>
      </c>
    </row>
    <row r="49" spans="1:5" ht="16.5" x14ac:dyDescent="0.3">
      <c r="A49" s="41" t="s">
        <v>624</v>
      </c>
      <c r="B49" s="41" t="s">
        <v>499</v>
      </c>
      <c r="C49" s="215">
        <v>380</v>
      </c>
      <c r="D49" s="216" t="s">
        <v>516</v>
      </c>
      <c r="E49" s="217">
        <v>1592.38</v>
      </c>
    </row>
    <row r="50" spans="1:5" ht="16.5" x14ac:dyDescent="0.3">
      <c r="A50" s="41" t="s">
        <v>625</v>
      </c>
      <c r="B50" s="41" t="s">
        <v>500</v>
      </c>
      <c r="C50" s="215">
        <v>380</v>
      </c>
      <c r="D50" s="216" t="s">
        <v>517</v>
      </c>
      <c r="E50" s="217">
        <v>2107.56</v>
      </c>
    </row>
    <row r="51" spans="1:5" ht="16.5" x14ac:dyDescent="0.3">
      <c r="A51" s="41" t="s">
        <v>626</v>
      </c>
      <c r="B51" s="41" t="s">
        <v>501</v>
      </c>
      <c r="C51" s="215">
        <v>380</v>
      </c>
      <c r="D51" s="216" t="s">
        <v>518</v>
      </c>
      <c r="E51" s="217">
        <v>2365.11</v>
      </c>
    </row>
    <row r="52" spans="1:5" ht="16.5" x14ac:dyDescent="0.3">
      <c r="A52" s="41" t="s">
        <v>627</v>
      </c>
      <c r="B52" s="41" t="s">
        <v>502</v>
      </c>
      <c r="C52" s="215">
        <v>380</v>
      </c>
      <c r="D52" s="216" t="s">
        <v>519</v>
      </c>
      <c r="E52" s="217">
        <v>2557.73</v>
      </c>
    </row>
    <row r="53" spans="1:5" ht="16.5" x14ac:dyDescent="0.3">
      <c r="A53" s="41" t="s">
        <v>628</v>
      </c>
      <c r="B53" s="41" t="s">
        <v>503</v>
      </c>
      <c r="C53" s="215">
        <v>380</v>
      </c>
      <c r="D53" s="216" t="s">
        <v>520</v>
      </c>
      <c r="E53" s="217">
        <v>3128</v>
      </c>
    </row>
    <row r="54" spans="1:5" ht="16.5" x14ac:dyDescent="0.3">
      <c r="A54" s="41" t="s">
        <v>629</v>
      </c>
      <c r="B54" s="41" t="s">
        <v>504</v>
      </c>
      <c r="C54" s="215">
        <v>380</v>
      </c>
      <c r="D54" s="216" t="s">
        <v>521</v>
      </c>
      <c r="E54" s="217">
        <v>3773.89</v>
      </c>
    </row>
    <row r="55" spans="1:5" ht="16.5" x14ac:dyDescent="0.3">
      <c r="A55" s="41" t="s">
        <v>630</v>
      </c>
      <c r="B55" s="41" t="s">
        <v>505</v>
      </c>
      <c r="C55" s="215">
        <v>380</v>
      </c>
      <c r="D55" s="216" t="s">
        <v>522</v>
      </c>
      <c r="E55" s="217">
        <v>4525.3100000000004</v>
      </c>
    </row>
    <row r="56" spans="1:5" ht="16.5" x14ac:dyDescent="0.3">
      <c r="A56" s="41" t="s">
        <v>631</v>
      </c>
      <c r="B56" s="41" t="s">
        <v>506</v>
      </c>
      <c r="C56" s="215">
        <v>380</v>
      </c>
      <c r="D56" s="216" t="s">
        <v>523</v>
      </c>
      <c r="E56" s="217">
        <v>5141.33</v>
      </c>
    </row>
    <row r="57" spans="1:5" ht="16.5" x14ac:dyDescent="0.3">
      <c r="A57" s="41" t="s">
        <v>632</v>
      </c>
      <c r="B57" s="41" t="s">
        <v>507</v>
      </c>
      <c r="C57" s="215">
        <v>380</v>
      </c>
      <c r="D57" s="216" t="s">
        <v>524</v>
      </c>
      <c r="E57" s="217">
        <v>6052.96</v>
      </c>
    </row>
    <row r="59" spans="1:5" ht="33" x14ac:dyDescent="0.3">
      <c r="A59" s="219" t="s">
        <v>525</v>
      </c>
    </row>
    <row r="60" spans="1:5" ht="16.5" x14ac:dyDescent="0.3">
      <c r="A60" s="41" t="s">
        <v>616</v>
      </c>
      <c r="B60" s="41" t="s">
        <v>491</v>
      </c>
      <c r="C60" s="215">
        <v>380</v>
      </c>
      <c r="D60" s="216" t="s">
        <v>526</v>
      </c>
      <c r="E60" s="217">
        <v>530.4</v>
      </c>
    </row>
    <row r="61" spans="1:5" ht="16.5" x14ac:dyDescent="0.3">
      <c r="A61" s="41" t="s">
        <v>617</v>
      </c>
      <c r="B61" s="41" t="s">
        <v>492</v>
      </c>
      <c r="C61" s="215">
        <v>380</v>
      </c>
      <c r="D61" s="216" t="s">
        <v>527</v>
      </c>
      <c r="E61" s="217">
        <v>655.69</v>
      </c>
    </row>
    <row r="62" spans="1:5" ht="16.5" x14ac:dyDescent="0.3">
      <c r="A62" s="41" t="s">
        <v>618</v>
      </c>
      <c r="B62" s="41" t="s">
        <v>493</v>
      </c>
      <c r="C62" s="215">
        <v>380</v>
      </c>
      <c r="D62" s="216" t="s">
        <v>528</v>
      </c>
      <c r="E62" s="217">
        <v>798.51</v>
      </c>
    </row>
    <row r="63" spans="1:5" ht="16.5" x14ac:dyDescent="0.3">
      <c r="A63" s="41" t="s">
        <v>619</v>
      </c>
      <c r="B63" s="41" t="s">
        <v>494</v>
      </c>
      <c r="C63" s="215">
        <v>380</v>
      </c>
      <c r="D63" s="216" t="s">
        <v>529</v>
      </c>
      <c r="E63" s="217">
        <v>876.98</v>
      </c>
    </row>
    <row r="64" spans="1:5" ht="16.5" x14ac:dyDescent="0.3">
      <c r="A64" s="41" t="s">
        <v>620</v>
      </c>
      <c r="B64" s="41" t="s">
        <v>495</v>
      </c>
      <c r="C64" s="215">
        <v>380</v>
      </c>
      <c r="D64" s="216" t="s">
        <v>530</v>
      </c>
      <c r="E64" s="217">
        <v>927.31</v>
      </c>
    </row>
    <row r="65" spans="1:6" ht="16.5" x14ac:dyDescent="0.3">
      <c r="A65" s="41" t="s">
        <v>621</v>
      </c>
      <c r="B65" s="41" t="s">
        <v>496</v>
      </c>
      <c r="C65" s="215">
        <v>380</v>
      </c>
      <c r="D65" s="216" t="s">
        <v>531</v>
      </c>
      <c r="E65" s="217">
        <v>1046.78</v>
      </c>
    </row>
    <row r="66" spans="1:6" ht="16.5" x14ac:dyDescent="0.3">
      <c r="A66" s="41" t="s">
        <v>622</v>
      </c>
      <c r="B66" s="41" t="s">
        <v>497</v>
      </c>
      <c r="C66" s="215">
        <v>380</v>
      </c>
      <c r="D66" s="216" t="s">
        <v>532</v>
      </c>
      <c r="E66" s="217">
        <v>1189.5999999999999</v>
      </c>
    </row>
    <row r="67" spans="1:6" ht="16.5" x14ac:dyDescent="0.3">
      <c r="A67" s="41" t="s">
        <v>623</v>
      </c>
      <c r="B67" s="41" t="s">
        <v>498</v>
      </c>
      <c r="C67" s="215">
        <v>380</v>
      </c>
      <c r="D67" s="216" t="s">
        <v>533</v>
      </c>
      <c r="E67" s="217">
        <v>1609.91</v>
      </c>
    </row>
    <row r="68" spans="1:6" ht="16.5" x14ac:dyDescent="0.3">
      <c r="A68" s="41" t="s">
        <v>624</v>
      </c>
      <c r="B68" s="41" t="s">
        <v>499</v>
      </c>
      <c r="C68" s="215">
        <v>380</v>
      </c>
      <c r="D68" s="216" t="s">
        <v>534</v>
      </c>
      <c r="E68" s="217">
        <v>1782.04</v>
      </c>
    </row>
    <row r="69" spans="1:6" ht="16.5" x14ac:dyDescent="0.3">
      <c r="A69" s="41" t="s">
        <v>625</v>
      </c>
      <c r="B69" s="41" t="s">
        <v>500</v>
      </c>
      <c r="C69" s="215">
        <v>380</v>
      </c>
      <c r="D69" s="216" t="s">
        <v>535</v>
      </c>
      <c r="E69" s="217">
        <v>2338.2199999999998</v>
      </c>
    </row>
    <row r="70" spans="1:6" ht="16.5" x14ac:dyDescent="0.3">
      <c r="A70" s="41" t="s">
        <v>626</v>
      </c>
      <c r="B70" s="41" t="s">
        <v>501</v>
      </c>
      <c r="C70" s="215">
        <v>380</v>
      </c>
      <c r="D70" s="216" t="s">
        <v>536</v>
      </c>
      <c r="E70" s="217">
        <v>2630.91</v>
      </c>
    </row>
    <row r="71" spans="1:6" ht="16.5" x14ac:dyDescent="0.3">
      <c r="A71" s="41" t="s">
        <v>627</v>
      </c>
      <c r="B71" s="41" t="s">
        <v>502</v>
      </c>
      <c r="C71" s="215">
        <v>380</v>
      </c>
      <c r="D71" s="216" t="s">
        <v>537</v>
      </c>
      <c r="E71" s="217">
        <v>2825.44</v>
      </c>
    </row>
    <row r="72" spans="1:6" ht="16.5" x14ac:dyDescent="0.3">
      <c r="A72" s="41" t="s">
        <v>628</v>
      </c>
      <c r="B72" s="41" t="s">
        <v>503</v>
      </c>
      <c r="C72" s="215">
        <v>380</v>
      </c>
      <c r="D72" s="216" t="s">
        <v>538</v>
      </c>
      <c r="E72" s="217">
        <v>3408.64</v>
      </c>
    </row>
    <row r="73" spans="1:6" ht="16.5" x14ac:dyDescent="0.3">
      <c r="A73" s="41" t="s">
        <v>629</v>
      </c>
      <c r="B73" s="41" t="s">
        <v>504</v>
      </c>
      <c r="C73" s="215">
        <v>380</v>
      </c>
      <c r="D73" s="216" t="s">
        <v>539</v>
      </c>
      <c r="E73" s="217">
        <v>4111.29</v>
      </c>
    </row>
    <row r="74" spans="1:6" ht="16.5" x14ac:dyDescent="0.3">
      <c r="A74" s="41" t="s">
        <v>630</v>
      </c>
      <c r="B74" s="41" t="s">
        <v>505</v>
      </c>
      <c r="C74" s="215">
        <v>380</v>
      </c>
      <c r="D74" s="216" t="s">
        <v>540</v>
      </c>
      <c r="E74" s="217">
        <v>4986.09</v>
      </c>
    </row>
    <row r="75" spans="1:6" ht="16.5" x14ac:dyDescent="0.3">
      <c r="A75" s="41" t="s">
        <v>631</v>
      </c>
      <c r="B75" s="41" t="s">
        <v>506</v>
      </c>
      <c r="C75" s="215">
        <v>380</v>
      </c>
      <c r="D75" s="216" t="s">
        <v>541</v>
      </c>
      <c r="E75" s="217">
        <v>5757.38</v>
      </c>
    </row>
    <row r="76" spans="1:6" ht="16.5" x14ac:dyDescent="0.3">
      <c r="A76" s="41" t="s">
        <v>632</v>
      </c>
      <c r="B76" s="41" t="s">
        <v>507</v>
      </c>
      <c r="C76" s="215">
        <v>380</v>
      </c>
      <c r="D76" s="216" t="s">
        <v>542</v>
      </c>
      <c r="E76" s="217">
        <v>6749.62</v>
      </c>
    </row>
    <row r="77" spans="1:6" ht="16.5" x14ac:dyDescent="0.3">
      <c r="E77" s="183"/>
    </row>
    <row r="78" spans="1:6" ht="33" x14ac:dyDescent="0.3">
      <c r="A78" s="219" t="s">
        <v>543</v>
      </c>
    </row>
    <row r="79" spans="1:6" ht="16.5" x14ac:dyDescent="0.3">
      <c r="A79" s="41" t="s">
        <v>544</v>
      </c>
      <c r="B79" s="41" t="s">
        <v>551</v>
      </c>
      <c r="C79" s="215">
        <v>220</v>
      </c>
      <c r="D79" s="41" t="s">
        <v>633</v>
      </c>
      <c r="E79" s="221"/>
      <c r="F79" s="220">
        <v>6506.86</v>
      </c>
    </row>
    <row r="80" spans="1:6" ht="16.5" x14ac:dyDescent="0.3">
      <c r="A80" s="41" t="s">
        <v>545</v>
      </c>
      <c r="B80" s="41" t="s">
        <v>552</v>
      </c>
      <c r="C80" s="215">
        <v>220</v>
      </c>
      <c r="D80" s="41" t="s">
        <v>637</v>
      </c>
      <c r="E80" s="221"/>
      <c r="F80" s="220">
        <v>4819.51</v>
      </c>
    </row>
    <row r="81" spans="1:6" ht="16.5" x14ac:dyDescent="0.3">
      <c r="A81" s="41" t="s">
        <v>546</v>
      </c>
      <c r="B81" s="41" t="s">
        <v>553</v>
      </c>
      <c r="C81" s="215">
        <v>220</v>
      </c>
      <c r="D81" s="41" t="s">
        <v>634</v>
      </c>
      <c r="E81" s="221"/>
      <c r="F81" s="220">
        <v>16386.310000000001</v>
      </c>
    </row>
    <row r="82" spans="1:6" ht="16.5" x14ac:dyDescent="0.3">
      <c r="A82" s="41" t="s">
        <v>547</v>
      </c>
      <c r="B82" s="41" t="s">
        <v>554</v>
      </c>
      <c r="C82" s="215">
        <v>220</v>
      </c>
      <c r="D82" s="41" t="s">
        <v>638</v>
      </c>
      <c r="E82" s="221"/>
      <c r="F82" s="220">
        <v>5662.91</v>
      </c>
    </row>
    <row r="83" spans="1:6" ht="16.5" x14ac:dyDescent="0.3">
      <c r="A83" s="41" t="s">
        <v>548</v>
      </c>
      <c r="B83" s="41" t="s">
        <v>554</v>
      </c>
      <c r="C83" s="215">
        <v>220</v>
      </c>
      <c r="D83" s="41" t="s">
        <v>635</v>
      </c>
      <c r="E83" s="221"/>
      <c r="F83" s="220">
        <v>6626.82</v>
      </c>
    </row>
    <row r="84" spans="1:6" ht="16.5" x14ac:dyDescent="0.3">
      <c r="A84" s="41" t="s">
        <v>549</v>
      </c>
      <c r="B84" s="41" t="s">
        <v>555</v>
      </c>
      <c r="C84" s="215">
        <v>220</v>
      </c>
      <c r="D84" s="41" t="s">
        <v>639</v>
      </c>
      <c r="E84" s="221"/>
      <c r="F84" s="220">
        <v>13735.6</v>
      </c>
    </row>
    <row r="85" spans="1:6" ht="16.5" x14ac:dyDescent="0.3">
      <c r="A85" s="41" t="s">
        <v>550</v>
      </c>
      <c r="B85" s="41" t="s">
        <v>556</v>
      </c>
      <c r="C85" s="215">
        <v>220</v>
      </c>
      <c r="D85" s="41" t="s">
        <v>636</v>
      </c>
      <c r="E85" s="221"/>
      <c r="F85" s="220">
        <v>13735.6</v>
      </c>
    </row>
    <row r="87" spans="1:6" ht="16.5" x14ac:dyDescent="0.3">
      <c r="A87" s="223" t="s">
        <v>674</v>
      </c>
      <c r="B87" s="223" t="s">
        <v>673</v>
      </c>
      <c r="D87" s="223" t="s">
        <v>580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V48"/>
  <sheetViews>
    <sheetView workbookViewId="0">
      <selection activeCell="B12" sqref="B12"/>
    </sheetView>
  </sheetViews>
  <sheetFormatPr defaultRowHeight="15" x14ac:dyDescent="0.25"/>
  <cols>
    <col min="1" max="1" width="21.5703125" customWidth="1"/>
    <col min="2" max="2" width="34.140625" customWidth="1"/>
    <col min="3" max="3" width="11.5703125" style="222" customWidth="1"/>
    <col min="4" max="4" width="6.5703125" style="222" customWidth="1"/>
    <col min="5" max="5" width="4.85546875" style="222" customWidth="1"/>
    <col min="6" max="6" width="20" customWidth="1"/>
    <col min="7" max="7" width="16.7109375" customWidth="1"/>
    <col min="8" max="8" width="18.85546875" customWidth="1"/>
    <col min="10" max="10" width="14.140625" customWidth="1"/>
    <col min="11" max="11" width="9.85546875" customWidth="1"/>
    <col min="13" max="13" width="23.7109375" customWidth="1"/>
    <col min="14" max="14" width="10.140625" customWidth="1"/>
    <col min="16" max="16" width="18.28515625" customWidth="1"/>
    <col min="17" max="17" width="10" customWidth="1"/>
    <col min="19" max="19" width="16.140625" style="225" customWidth="1"/>
  </cols>
  <sheetData>
    <row r="1" spans="1:22" x14ac:dyDescent="0.25">
      <c r="A1" t="s">
        <v>568</v>
      </c>
      <c r="B1" t="s">
        <v>644</v>
      </c>
      <c r="C1" s="222" t="s">
        <v>670</v>
      </c>
      <c r="D1" s="222" t="s">
        <v>671</v>
      </c>
      <c r="E1" s="222" t="s">
        <v>328</v>
      </c>
      <c r="F1" s="222" t="s">
        <v>418</v>
      </c>
      <c r="G1" t="s">
        <v>571</v>
      </c>
      <c r="H1" t="s">
        <v>418</v>
      </c>
      <c r="J1" t="s">
        <v>572</v>
      </c>
      <c r="K1" t="s">
        <v>418</v>
      </c>
      <c r="M1" t="s">
        <v>569</v>
      </c>
      <c r="N1" t="s">
        <v>418</v>
      </c>
      <c r="P1" t="s">
        <v>570</v>
      </c>
      <c r="Q1" t="s">
        <v>418</v>
      </c>
      <c r="S1" s="225" t="s">
        <v>686</v>
      </c>
    </row>
    <row r="2" spans="1:22" x14ac:dyDescent="0.25">
      <c r="B2" t="s">
        <v>836</v>
      </c>
      <c r="G2" t="s">
        <v>690</v>
      </c>
      <c r="J2" t="s">
        <v>691</v>
      </c>
      <c r="M2" t="s">
        <v>692</v>
      </c>
      <c r="P2" t="s">
        <v>693</v>
      </c>
      <c r="S2" s="225" t="s">
        <v>694</v>
      </c>
    </row>
    <row r="3" spans="1:22" ht="15.75" x14ac:dyDescent="0.25">
      <c r="A3" s="148" t="s">
        <v>308</v>
      </c>
      <c r="B3" s="181" t="s">
        <v>818</v>
      </c>
      <c r="C3" s="222">
        <v>0.05</v>
      </c>
      <c r="D3" s="222">
        <v>0.21</v>
      </c>
      <c r="E3" s="222">
        <v>1</v>
      </c>
      <c r="F3">
        <v>40880</v>
      </c>
      <c r="G3" t="s">
        <v>412</v>
      </c>
      <c r="H3" s="215">
        <v>10330</v>
      </c>
      <c r="J3" t="s">
        <v>573</v>
      </c>
      <c r="K3" s="215">
        <v>5653</v>
      </c>
      <c r="M3" s="214" t="s">
        <v>316</v>
      </c>
      <c r="N3" s="215">
        <v>10230</v>
      </c>
      <c r="P3" t="s">
        <v>684</v>
      </c>
      <c r="Q3" s="215">
        <v>1855</v>
      </c>
      <c r="S3" s="228" t="s">
        <v>687</v>
      </c>
      <c r="T3" s="229">
        <v>1128</v>
      </c>
    </row>
    <row r="4" spans="1:22" ht="15.75" x14ac:dyDescent="0.25">
      <c r="A4" s="147" t="s">
        <v>309</v>
      </c>
      <c r="B4" s="181" t="s">
        <v>819</v>
      </c>
      <c r="C4" s="222">
        <v>0.05</v>
      </c>
      <c r="D4" s="222">
        <v>0.21</v>
      </c>
      <c r="E4" s="222">
        <v>1</v>
      </c>
      <c r="F4">
        <v>40880</v>
      </c>
      <c r="G4" t="s">
        <v>411</v>
      </c>
      <c r="H4" s="215">
        <v>12718</v>
      </c>
      <c r="J4" t="s">
        <v>574</v>
      </c>
      <c r="K4" s="215">
        <v>5653</v>
      </c>
      <c r="M4" s="225" t="s">
        <v>317</v>
      </c>
      <c r="N4" s="215">
        <v>10665</v>
      </c>
      <c r="P4" s="225" t="s">
        <v>685</v>
      </c>
      <c r="Q4">
        <v>1768</v>
      </c>
      <c r="S4" s="228" t="s">
        <v>688</v>
      </c>
      <c r="T4" s="229">
        <v>1128</v>
      </c>
    </row>
    <row r="5" spans="1:22" ht="15.75" x14ac:dyDescent="0.25">
      <c r="A5" s="147" t="s">
        <v>310</v>
      </c>
      <c r="B5" s="181" t="s">
        <v>820</v>
      </c>
      <c r="C5" s="222">
        <v>0.09</v>
      </c>
      <c r="D5" s="222">
        <v>0.39</v>
      </c>
      <c r="E5" s="222">
        <v>1</v>
      </c>
      <c r="F5">
        <v>42558</v>
      </c>
      <c r="G5" t="s">
        <v>700</v>
      </c>
      <c r="H5">
        <v>0</v>
      </c>
      <c r="J5" t="s">
        <v>640</v>
      </c>
      <c r="K5" s="215">
        <v>5653</v>
      </c>
      <c r="M5" s="225" t="s">
        <v>318</v>
      </c>
      <c r="N5" s="215">
        <v>29600</v>
      </c>
      <c r="V5" s="147" t="s">
        <v>321</v>
      </c>
    </row>
    <row r="6" spans="1:22" ht="15.75" x14ac:dyDescent="0.25">
      <c r="A6" s="147" t="s">
        <v>311</v>
      </c>
      <c r="B6" s="181" t="s">
        <v>821</v>
      </c>
      <c r="C6" s="222">
        <v>0.09</v>
      </c>
      <c r="D6" s="222">
        <v>0.39</v>
      </c>
      <c r="E6" s="222">
        <v>1</v>
      </c>
      <c r="F6">
        <v>42558</v>
      </c>
      <c r="J6" t="s">
        <v>575</v>
      </c>
      <c r="K6" s="215">
        <v>6800</v>
      </c>
      <c r="M6" s="225" t="s">
        <v>319</v>
      </c>
      <c r="N6" s="215">
        <v>45488</v>
      </c>
      <c r="V6" s="147" t="s">
        <v>322</v>
      </c>
    </row>
    <row r="7" spans="1:22" ht="15.75" x14ac:dyDescent="0.25">
      <c r="A7" s="147" t="s">
        <v>312</v>
      </c>
      <c r="B7" s="181" t="s">
        <v>822</v>
      </c>
      <c r="C7" s="222">
        <v>0.21</v>
      </c>
      <c r="D7" s="222">
        <v>0.88</v>
      </c>
      <c r="E7" s="222">
        <v>1</v>
      </c>
      <c r="F7">
        <v>60128</v>
      </c>
      <c r="J7" t="s">
        <v>576</v>
      </c>
      <c r="K7" s="215">
        <v>7443</v>
      </c>
      <c r="M7" s="225" t="s">
        <v>327</v>
      </c>
      <c r="N7" s="215">
        <v>78783</v>
      </c>
      <c r="V7" s="147" t="s">
        <v>323</v>
      </c>
    </row>
    <row r="8" spans="1:22" ht="15.75" x14ac:dyDescent="0.25">
      <c r="A8" s="147" t="s">
        <v>313</v>
      </c>
      <c r="B8" s="181" t="s">
        <v>823</v>
      </c>
      <c r="C8" s="222">
        <v>0.21</v>
      </c>
      <c r="D8" s="222">
        <v>0.88</v>
      </c>
      <c r="E8" s="222">
        <v>1</v>
      </c>
      <c r="F8">
        <v>65160</v>
      </c>
      <c r="J8" t="s">
        <v>577</v>
      </c>
      <c r="K8" s="215">
        <v>8743</v>
      </c>
      <c r="M8" s="225" t="s">
        <v>329</v>
      </c>
      <c r="N8" s="215">
        <v>107618</v>
      </c>
      <c r="V8" s="147" t="s">
        <v>324</v>
      </c>
    </row>
    <row r="9" spans="1:22" ht="15.75" x14ac:dyDescent="0.25">
      <c r="A9" s="147" t="s">
        <v>643</v>
      </c>
      <c r="B9" s="181" t="s">
        <v>824</v>
      </c>
      <c r="C9" s="222">
        <v>0.21</v>
      </c>
      <c r="D9" s="222">
        <v>0.88</v>
      </c>
      <c r="E9" s="222">
        <v>1</v>
      </c>
      <c r="F9">
        <v>71250</v>
      </c>
      <c r="J9" t="s">
        <v>578</v>
      </c>
      <c r="K9" s="215">
        <v>10508</v>
      </c>
      <c r="M9" s="225" t="s">
        <v>330</v>
      </c>
      <c r="N9" s="215">
        <v>97825</v>
      </c>
      <c r="V9" s="147" t="s">
        <v>325</v>
      </c>
    </row>
    <row r="10" spans="1:22" ht="15.75" x14ac:dyDescent="0.25">
      <c r="A10" s="147" t="s">
        <v>314</v>
      </c>
      <c r="B10" s="181" t="s">
        <v>825</v>
      </c>
      <c r="C10" s="222">
        <v>0.26500000000000001</v>
      </c>
      <c r="D10" s="222">
        <v>1.1499999999999999</v>
      </c>
      <c r="E10" s="222">
        <v>1</v>
      </c>
      <c r="F10">
        <v>91735</v>
      </c>
      <c r="J10" t="s">
        <v>579</v>
      </c>
      <c r="K10" s="215">
        <v>21988</v>
      </c>
      <c r="M10" s="225" t="s">
        <v>331</v>
      </c>
      <c r="N10" s="215">
        <v>98858</v>
      </c>
      <c r="V10" s="147" t="s">
        <v>326</v>
      </c>
    </row>
    <row r="11" spans="1:22" ht="15.75" x14ac:dyDescent="0.25">
      <c r="A11" s="147" t="s">
        <v>315</v>
      </c>
      <c r="B11" s="181" t="s">
        <v>826</v>
      </c>
      <c r="C11" s="222">
        <v>0.26500000000000001</v>
      </c>
      <c r="D11" s="222">
        <v>1.1499999999999999</v>
      </c>
      <c r="E11" s="222">
        <v>1</v>
      </c>
      <c r="F11">
        <v>92620</v>
      </c>
      <c r="J11" s="225" t="s">
        <v>682</v>
      </c>
      <c r="K11">
        <v>55008</v>
      </c>
      <c r="M11" s="225" t="s">
        <v>332</v>
      </c>
      <c r="N11" s="215">
        <v>94765</v>
      </c>
    </row>
    <row r="12" spans="1:22" ht="15.75" x14ac:dyDescent="0.25">
      <c r="A12" s="148" t="s">
        <v>641</v>
      </c>
      <c r="B12" s="181" t="s">
        <v>958</v>
      </c>
      <c r="C12" s="222">
        <v>0.05</v>
      </c>
      <c r="D12" s="222">
        <v>0.21</v>
      </c>
      <c r="E12" s="222">
        <v>1</v>
      </c>
      <c r="F12">
        <v>42735</v>
      </c>
      <c r="J12" s="225" t="s">
        <v>683</v>
      </c>
      <c r="K12">
        <v>75933</v>
      </c>
      <c r="M12" s="225" t="s">
        <v>333</v>
      </c>
      <c r="N12" s="215">
        <v>105988</v>
      </c>
    </row>
    <row r="13" spans="1:22" ht="15.75" x14ac:dyDescent="0.25">
      <c r="A13" s="147" t="s">
        <v>642</v>
      </c>
      <c r="B13" s="181" t="s">
        <v>957</v>
      </c>
      <c r="C13" s="222">
        <v>0.05</v>
      </c>
      <c r="D13" s="222">
        <v>0.21</v>
      </c>
      <c r="E13" s="222">
        <v>1</v>
      </c>
      <c r="F13">
        <v>42735</v>
      </c>
      <c r="M13" s="225" t="s">
        <v>334</v>
      </c>
      <c r="N13" s="215">
        <v>149543</v>
      </c>
    </row>
    <row r="14" spans="1:22" ht="15.75" x14ac:dyDescent="0.25">
      <c r="A14" s="147" t="s">
        <v>645</v>
      </c>
      <c r="B14" s="181" t="s">
        <v>956</v>
      </c>
      <c r="C14" s="222">
        <v>0.09</v>
      </c>
      <c r="D14" s="222">
        <v>0.39</v>
      </c>
      <c r="E14" s="222">
        <v>1</v>
      </c>
      <c r="F14">
        <v>44413</v>
      </c>
      <c r="M14" s="225" t="s">
        <v>335</v>
      </c>
      <c r="N14" s="215">
        <v>139175</v>
      </c>
    </row>
    <row r="15" spans="1:22" ht="15.75" x14ac:dyDescent="0.25">
      <c r="A15" s="147" t="s">
        <v>646</v>
      </c>
      <c r="B15" s="181" t="s">
        <v>955</v>
      </c>
      <c r="C15" s="222">
        <v>0.09</v>
      </c>
      <c r="D15" s="222">
        <v>0.39</v>
      </c>
      <c r="E15" s="222">
        <v>1</v>
      </c>
      <c r="F15">
        <v>44413</v>
      </c>
      <c r="M15" s="225" t="s">
        <v>336</v>
      </c>
      <c r="N15" s="215">
        <v>161315</v>
      </c>
    </row>
    <row r="16" spans="1:22" ht="15.75" x14ac:dyDescent="0.25">
      <c r="A16" s="147" t="s">
        <v>647</v>
      </c>
      <c r="B16" s="181" t="s">
        <v>954</v>
      </c>
      <c r="C16" s="222">
        <v>0.21</v>
      </c>
      <c r="D16" s="222">
        <v>0.88</v>
      </c>
      <c r="E16" s="222">
        <v>1</v>
      </c>
      <c r="F16">
        <v>62863</v>
      </c>
      <c r="M16" s="225" t="s">
        <v>338</v>
      </c>
      <c r="N16" s="215">
        <v>207620</v>
      </c>
    </row>
    <row r="17" spans="1:18" ht="15.75" x14ac:dyDescent="0.25">
      <c r="A17" s="147" t="s">
        <v>648</v>
      </c>
      <c r="B17" s="181" t="s">
        <v>953</v>
      </c>
      <c r="C17" s="222">
        <v>0.21</v>
      </c>
      <c r="D17" s="222">
        <v>0.88</v>
      </c>
      <c r="E17" s="222">
        <v>1</v>
      </c>
      <c r="F17">
        <v>68073</v>
      </c>
      <c r="M17" s="225" t="s">
        <v>339</v>
      </c>
      <c r="N17" s="215">
        <v>259853</v>
      </c>
    </row>
    <row r="18" spans="1:18" ht="15.75" x14ac:dyDescent="0.25">
      <c r="A18" s="147" t="s">
        <v>649</v>
      </c>
      <c r="B18" s="181" t="s">
        <v>952</v>
      </c>
      <c r="C18" s="222">
        <v>0.21</v>
      </c>
      <c r="D18" s="222">
        <v>0.88</v>
      </c>
      <c r="E18" s="222">
        <v>1</v>
      </c>
      <c r="F18">
        <v>74430</v>
      </c>
      <c r="M18" s="225" t="s">
        <v>337</v>
      </c>
      <c r="N18" s="215">
        <v>323983</v>
      </c>
    </row>
    <row r="19" spans="1:18" ht="15.75" x14ac:dyDescent="0.25">
      <c r="A19" s="147" t="s">
        <v>650</v>
      </c>
      <c r="B19" s="181" t="s">
        <v>951</v>
      </c>
      <c r="C19" s="222">
        <v>0.26500000000000001</v>
      </c>
      <c r="D19" s="222">
        <v>1.1499999999999999</v>
      </c>
      <c r="E19" s="222">
        <v>1</v>
      </c>
      <c r="F19">
        <v>95885</v>
      </c>
      <c r="M19" s="214" t="s">
        <v>701</v>
      </c>
      <c r="N19" s="215">
        <v>0</v>
      </c>
    </row>
    <row r="20" spans="1:18" ht="15.75" x14ac:dyDescent="0.25">
      <c r="A20" s="147" t="s">
        <v>651</v>
      </c>
      <c r="B20" s="181" t="s">
        <v>950</v>
      </c>
      <c r="C20" s="222">
        <v>0.26500000000000001</v>
      </c>
      <c r="D20" s="222">
        <v>1.1499999999999999</v>
      </c>
      <c r="E20" s="222">
        <v>1</v>
      </c>
      <c r="F20">
        <v>96855</v>
      </c>
      <c r="M20" s="214" t="s">
        <v>702</v>
      </c>
      <c r="N20" s="215">
        <v>0</v>
      </c>
    </row>
    <row r="21" spans="1:18" ht="15.75" x14ac:dyDescent="0.25">
      <c r="A21" s="148" t="s">
        <v>652</v>
      </c>
      <c r="B21" s="181" t="s">
        <v>827</v>
      </c>
      <c r="C21" s="222">
        <v>0.05</v>
      </c>
      <c r="D21" s="222">
        <v>0.21</v>
      </c>
      <c r="E21" s="222">
        <v>1</v>
      </c>
      <c r="F21">
        <v>47238</v>
      </c>
      <c r="M21" s="214"/>
      <c r="N21" s="215"/>
    </row>
    <row r="22" spans="1:18" ht="15.75" x14ac:dyDescent="0.25">
      <c r="A22" s="147" t="s">
        <v>653</v>
      </c>
      <c r="B22" s="181" t="s">
        <v>828</v>
      </c>
      <c r="C22" s="222">
        <v>0.05</v>
      </c>
      <c r="D22" s="222">
        <v>0.21</v>
      </c>
      <c r="E22" s="222">
        <v>1</v>
      </c>
      <c r="F22">
        <v>47238</v>
      </c>
      <c r="L22">
        <v>12</v>
      </c>
      <c r="M22" s="214"/>
      <c r="N22" s="215"/>
      <c r="R22">
        <v>18</v>
      </c>
    </row>
    <row r="23" spans="1:18" ht="15.75" x14ac:dyDescent="0.25">
      <c r="A23" s="147" t="s">
        <v>654</v>
      </c>
      <c r="B23" s="181" t="s">
        <v>829</v>
      </c>
      <c r="C23" s="222">
        <v>0.09</v>
      </c>
      <c r="D23" s="222">
        <v>0.39</v>
      </c>
      <c r="E23" s="222">
        <v>1</v>
      </c>
      <c r="F23">
        <v>49090</v>
      </c>
      <c r="M23" s="214"/>
      <c r="N23" s="215"/>
    </row>
    <row r="24" spans="1:18" ht="15.75" x14ac:dyDescent="0.25">
      <c r="A24" s="147" t="s">
        <v>655</v>
      </c>
      <c r="B24" s="181" t="s">
        <v>830</v>
      </c>
      <c r="C24" s="222">
        <v>0.09</v>
      </c>
      <c r="D24" s="222">
        <v>0.39</v>
      </c>
      <c r="E24" s="222">
        <v>1</v>
      </c>
      <c r="F24">
        <v>49090</v>
      </c>
      <c r="M24" s="214"/>
      <c r="N24" s="215"/>
    </row>
    <row r="25" spans="1:18" ht="15.75" x14ac:dyDescent="0.25">
      <c r="A25" s="147" t="s">
        <v>656</v>
      </c>
      <c r="B25" s="181" t="s">
        <v>831</v>
      </c>
      <c r="C25" s="222">
        <v>0.21</v>
      </c>
      <c r="D25" s="222">
        <v>0.88</v>
      </c>
      <c r="E25" s="222">
        <v>1</v>
      </c>
      <c r="F25">
        <v>69398</v>
      </c>
      <c r="M25" s="214"/>
      <c r="N25" s="215"/>
    </row>
    <row r="26" spans="1:18" ht="15.75" x14ac:dyDescent="0.25">
      <c r="A26" s="147" t="s">
        <v>657</v>
      </c>
      <c r="B26" s="181" t="s">
        <v>832</v>
      </c>
      <c r="C26" s="222">
        <v>0.21</v>
      </c>
      <c r="D26" s="222">
        <v>0.88</v>
      </c>
      <c r="E26" s="222">
        <v>1</v>
      </c>
      <c r="F26">
        <v>75225</v>
      </c>
      <c r="M26" s="214"/>
      <c r="N26" s="215"/>
    </row>
    <row r="27" spans="1:18" ht="15.75" x14ac:dyDescent="0.25">
      <c r="A27" s="147" t="s">
        <v>658</v>
      </c>
      <c r="B27" s="181" t="s">
        <v>833</v>
      </c>
      <c r="C27" s="222">
        <v>0.21</v>
      </c>
      <c r="D27" s="222">
        <v>0.88</v>
      </c>
      <c r="E27" s="222">
        <v>1</v>
      </c>
      <c r="F27">
        <v>82200</v>
      </c>
      <c r="M27" s="214"/>
      <c r="N27" s="215"/>
    </row>
    <row r="28" spans="1:18" ht="15.75" x14ac:dyDescent="0.25">
      <c r="A28" s="147" t="s">
        <v>659</v>
      </c>
      <c r="B28" s="181" t="s">
        <v>834</v>
      </c>
      <c r="C28" s="222">
        <v>0.26500000000000001</v>
      </c>
      <c r="D28" s="222">
        <v>1.1499999999999999</v>
      </c>
      <c r="E28" s="222">
        <v>1</v>
      </c>
      <c r="F28">
        <v>105950</v>
      </c>
      <c r="M28" s="214"/>
      <c r="N28" s="215"/>
    </row>
    <row r="29" spans="1:18" ht="15.75" x14ac:dyDescent="0.25">
      <c r="A29" s="147" t="s">
        <v>660</v>
      </c>
      <c r="B29" s="181" t="s">
        <v>835</v>
      </c>
      <c r="C29" s="222">
        <v>0.26500000000000001</v>
      </c>
      <c r="D29" s="222">
        <v>1.1499999999999999</v>
      </c>
      <c r="E29" s="222">
        <v>1</v>
      </c>
      <c r="F29">
        <v>107010</v>
      </c>
    </row>
    <row r="30" spans="1:18" ht="15.75" x14ac:dyDescent="0.25">
      <c r="A30" s="148" t="s">
        <v>661</v>
      </c>
      <c r="B30" s="181" t="s">
        <v>949</v>
      </c>
      <c r="C30" s="222">
        <v>0.05</v>
      </c>
      <c r="D30" s="222">
        <v>0.21</v>
      </c>
      <c r="E30" s="222">
        <v>1</v>
      </c>
      <c r="F30">
        <v>49885</v>
      </c>
    </row>
    <row r="31" spans="1:18" ht="15.75" x14ac:dyDescent="0.25">
      <c r="A31" s="147" t="s">
        <v>662</v>
      </c>
      <c r="B31" s="181" t="s">
        <v>948</v>
      </c>
      <c r="C31" s="222">
        <v>0.05</v>
      </c>
      <c r="D31" s="222">
        <v>0.21</v>
      </c>
      <c r="E31" s="222">
        <v>1</v>
      </c>
      <c r="F31">
        <v>49885</v>
      </c>
    </row>
    <row r="32" spans="1:18" ht="15.75" x14ac:dyDescent="0.25">
      <c r="A32" s="147" t="s">
        <v>663</v>
      </c>
      <c r="B32" s="181" t="s">
        <v>947</v>
      </c>
      <c r="C32" s="222">
        <v>0.09</v>
      </c>
      <c r="D32" s="222">
        <v>0.39</v>
      </c>
      <c r="E32" s="222">
        <v>1</v>
      </c>
      <c r="F32">
        <v>51828</v>
      </c>
    </row>
    <row r="33" spans="1:6" ht="15.75" x14ac:dyDescent="0.25">
      <c r="A33" s="147" t="s">
        <v>664</v>
      </c>
      <c r="B33" s="181" t="s">
        <v>946</v>
      </c>
      <c r="C33" s="222">
        <v>0.09</v>
      </c>
      <c r="D33" s="222">
        <v>0.39</v>
      </c>
      <c r="E33" s="222">
        <v>1</v>
      </c>
      <c r="F33">
        <v>51828</v>
      </c>
    </row>
    <row r="34" spans="1:6" ht="15.75" x14ac:dyDescent="0.25">
      <c r="A34" s="147" t="s">
        <v>665</v>
      </c>
      <c r="B34" s="181" t="s">
        <v>945</v>
      </c>
      <c r="C34" s="222">
        <v>0.21</v>
      </c>
      <c r="D34" s="222">
        <v>0.88</v>
      </c>
      <c r="E34" s="222">
        <v>1</v>
      </c>
      <c r="F34">
        <v>73195</v>
      </c>
    </row>
    <row r="35" spans="1:6" ht="15.75" x14ac:dyDescent="0.25">
      <c r="A35" s="147" t="s">
        <v>666</v>
      </c>
      <c r="B35" s="181" t="s">
        <v>944</v>
      </c>
      <c r="C35" s="222">
        <v>0.21</v>
      </c>
      <c r="D35" s="222">
        <v>0.88</v>
      </c>
      <c r="E35" s="222">
        <v>1</v>
      </c>
      <c r="F35">
        <v>79375</v>
      </c>
    </row>
    <row r="36" spans="1:6" ht="15.75" x14ac:dyDescent="0.25">
      <c r="A36" s="147" t="s">
        <v>667</v>
      </c>
      <c r="B36" s="181" t="s">
        <v>943</v>
      </c>
      <c r="C36" s="222">
        <v>0.21</v>
      </c>
      <c r="D36" s="222">
        <v>0.88</v>
      </c>
      <c r="E36" s="222">
        <v>1</v>
      </c>
      <c r="F36">
        <v>86703</v>
      </c>
    </row>
    <row r="37" spans="1:6" ht="15.75" x14ac:dyDescent="0.25">
      <c r="A37" s="147" t="s">
        <v>668</v>
      </c>
      <c r="B37" s="181" t="s">
        <v>942</v>
      </c>
      <c r="C37" s="222">
        <v>0.26500000000000001</v>
      </c>
      <c r="D37" s="222">
        <v>1.1499999999999999</v>
      </c>
      <c r="E37" s="222">
        <v>1</v>
      </c>
      <c r="F37">
        <v>111778</v>
      </c>
    </row>
    <row r="38" spans="1:6" ht="15.75" x14ac:dyDescent="0.25">
      <c r="A38" s="147" t="s">
        <v>669</v>
      </c>
      <c r="B38" s="181" t="s">
        <v>941</v>
      </c>
      <c r="C38" s="222">
        <v>0.26500000000000001</v>
      </c>
      <c r="D38" s="222">
        <v>1.1499999999999999</v>
      </c>
      <c r="E38" s="222">
        <v>1</v>
      </c>
      <c r="F38">
        <v>112925</v>
      </c>
    </row>
    <row r="47" spans="1:6" x14ac:dyDescent="0.25">
      <c r="B47" t="s">
        <v>836</v>
      </c>
      <c r="C47" s="222">
        <v>0</v>
      </c>
    </row>
    <row r="48" spans="1:6" x14ac:dyDescent="0.25">
      <c r="C48" s="222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A120"/>
  <sheetViews>
    <sheetView topLeftCell="A82" zoomScaleNormal="100" zoomScaleSheetLayoutView="90" workbookViewId="0">
      <selection activeCell="E82" sqref="E82"/>
    </sheetView>
  </sheetViews>
  <sheetFormatPr defaultRowHeight="15" x14ac:dyDescent="0.25"/>
  <cols>
    <col min="2" max="2" width="15.42578125" customWidth="1"/>
    <col min="4" max="4" width="8.5703125" customWidth="1"/>
    <col min="5" max="5" width="39.28515625" style="180" customWidth="1"/>
    <col min="6" max="6" width="36.5703125" style="180" customWidth="1"/>
    <col min="7" max="7" width="11.85546875" style="180" customWidth="1"/>
    <col min="8" max="8" width="16" style="180" customWidth="1"/>
    <col min="9" max="9" width="11" style="182" customWidth="1"/>
    <col min="10" max="10" width="54.7109375" style="180" customWidth="1"/>
    <col min="11" max="11" width="26.28515625" style="180" customWidth="1"/>
    <col min="12" max="12" width="9.140625" style="180" customWidth="1"/>
    <col min="13" max="13" width="24.140625" style="180" customWidth="1"/>
    <col min="14" max="14" width="18.42578125" style="180" customWidth="1"/>
    <col min="15" max="32" width="4.7109375" customWidth="1"/>
  </cols>
  <sheetData>
    <row r="1" spans="1:27" ht="16.5" x14ac:dyDescent="0.3">
      <c r="E1" s="557" t="s">
        <v>141</v>
      </c>
      <c r="F1" s="557" t="s">
        <v>140</v>
      </c>
      <c r="G1" s="560" t="s">
        <v>142</v>
      </c>
      <c r="H1" s="561"/>
      <c r="I1" s="45"/>
      <c r="J1" s="557" t="s">
        <v>143</v>
      </c>
      <c r="K1" s="206">
        <v>2</v>
      </c>
      <c r="L1" s="557" t="s">
        <v>145</v>
      </c>
      <c r="M1" s="42" t="s">
        <v>146</v>
      </c>
      <c r="N1" s="180" t="e">
        <f>Лист1!#REF!</f>
        <v>#REF!</v>
      </c>
      <c r="O1" t="e">
        <f>Лист1!#REF!</f>
        <v>#REF!</v>
      </c>
      <c r="P1">
        <f>A3</f>
        <v>3</v>
      </c>
      <c r="Q1">
        <f>A9</f>
        <v>9</v>
      </c>
      <c r="R1">
        <f>A14</f>
        <v>14</v>
      </c>
      <c r="S1">
        <f>A26</f>
        <v>26</v>
      </c>
      <c r="T1">
        <f>A34</f>
        <v>34</v>
      </c>
      <c r="U1">
        <f>A39</f>
        <v>39</v>
      </c>
      <c r="V1">
        <f>A45</f>
        <v>45</v>
      </c>
      <c r="W1">
        <f>A52</f>
        <v>52</v>
      </c>
      <c r="X1">
        <f>A62</f>
        <v>62</v>
      </c>
      <c r="Y1">
        <f>A76</f>
        <v>76</v>
      </c>
      <c r="Z1">
        <f>A82</f>
        <v>82</v>
      </c>
      <c r="AA1">
        <f>A90</f>
        <v>90</v>
      </c>
    </row>
    <row r="2" spans="1:27" ht="16.5" x14ac:dyDescent="0.3">
      <c r="A2">
        <v>2</v>
      </c>
      <c r="E2" s="559"/>
      <c r="F2" s="559"/>
      <c r="G2" s="56" t="s">
        <v>147</v>
      </c>
      <c r="H2" s="56" t="s">
        <v>148</v>
      </c>
      <c r="I2" s="46"/>
      <c r="J2" s="558"/>
      <c r="K2" s="207">
        <v>2</v>
      </c>
      <c r="L2" s="558"/>
      <c r="M2" s="43" t="s">
        <v>149</v>
      </c>
      <c r="N2" s="1"/>
      <c r="P2">
        <f>A8</f>
        <v>8</v>
      </c>
      <c r="Q2">
        <f>A13</f>
        <v>13</v>
      </c>
      <c r="R2">
        <f>A25</f>
        <v>25</v>
      </c>
      <c r="S2">
        <f>A33</f>
        <v>33</v>
      </c>
      <c r="T2">
        <f>A38</f>
        <v>38</v>
      </c>
      <c r="U2">
        <f>A44</f>
        <v>44</v>
      </c>
      <c r="V2">
        <f>A51</f>
        <v>51</v>
      </c>
      <c r="W2">
        <f>A61</f>
        <v>61</v>
      </c>
      <c r="X2">
        <f>A75</f>
        <v>75</v>
      </c>
      <c r="Y2">
        <f>A81</f>
        <v>81</v>
      </c>
      <c r="Z2">
        <f>A89</f>
        <v>89</v>
      </c>
      <c r="AA2">
        <f>A92</f>
        <v>92</v>
      </c>
    </row>
    <row r="3" spans="1:27" ht="66" x14ac:dyDescent="0.3">
      <c r="A3">
        <f>A2+1</f>
        <v>3</v>
      </c>
      <c r="D3" s="186"/>
      <c r="E3" s="179" t="s">
        <v>966</v>
      </c>
      <c r="F3" s="179" t="s">
        <v>162</v>
      </c>
      <c r="G3" s="183">
        <v>44.34</v>
      </c>
      <c r="H3" s="184" t="e">
        <f>G3*O1</f>
        <v>#REF!</v>
      </c>
      <c r="I3" s="47">
        <v>0</v>
      </c>
      <c r="J3" s="41" t="s">
        <v>164</v>
      </c>
      <c r="K3" s="205">
        <f>K2+1</f>
        <v>3</v>
      </c>
      <c r="L3" s="181"/>
      <c r="M3" s="41" t="s">
        <v>150</v>
      </c>
      <c r="N3" s="1"/>
    </row>
    <row r="4" spans="1:27" s="180" customFormat="1" ht="66" x14ac:dyDescent="0.3">
      <c r="A4" s="180">
        <f t="shared" ref="A4:A67" si="0">A3+1</f>
        <v>4</v>
      </c>
      <c r="D4" s="186"/>
      <c r="E4" s="179" t="s">
        <v>153</v>
      </c>
      <c r="F4" s="179" t="s">
        <v>162</v>
      </c>
      <c r="G4" s="183">
        <v>44.34</v>
      </c>
      <c r="H4" s="184" t="e">
        <f>G4*O1</f>
        <v>#REF!</v>
      </c>
      <c r="I4" s="47"/>
      <c r="J4" s="41"/>
      <c r="K4" s="205">
        <f t="shared" ref="K4:K67" si="1">K3+1</f>
        <v>4</v>
      </c>
      <c r="L4" s="181"/>
      <c r="M4" s="41" t="s">
        <v>150</v>
      </c>
      <c r="N4" s="1"/>
    </row>
    <row r="5" spans="1:27" s="180" customFormat="1" ht="66" x14ac:dyDescent="0.3">
      <c r="A5" s="180">
        <f t="shared" si="0"/>
        <v>5</v>
      </c>
      <c r="D5" s="186"/>
      <c r="E5" s="179" t="s">
        <v>154</v>
      </c>
      <c r="F5" s="179" t="s">
        <v>162</v>
      </c>
      <c r="G5" s="185">
        <v>39.61</v>
      </c>
      <c r="H5" s="184" t="e">
        <f>G5*O1</f>
        <v>#REF!</v>
      </c>
      <c r="I5" s="47"/>
      <c r="J5" s="41"/>
      <c r="K5" s="205">
        <f t="shared" si="1"/>
        <v>5</v>
      </c>
      <c r="L5" s="181"/>
      <c r="M5" s="41" t="s">
        <v>152</v>
      </c>
      <c r="N5" s="1"/>
    </row>
    <row r="6" spans="1:27" s="180" customFormat="1" ht="66" x14ac:dyDescent="0.3">
      <c r="A6" s="180">
        <f t="shared" si="0"/>
        <v>6</v>
      </c>
      <c r="D6" s="186"/>
      <c r="E6" s="179" t="s">
        <v>155</v>
      </c>
      <c r="F6" s="179" t="s">
        <v>162</v>
      </c>
      <c r="G6" s="185">
        <v>39.61</v>
      </c>
      <c r="H6" s="184" t="e">
        <f>G6*O1</f>
        <v>#REF!</v>
      </c>
      <c r="I6" s="47"/>
      <c r="J6" s="41" t="s">
        <v>164</v>
      </c>
      <c r="K6" s="205">
        <f t="shared" si="1"/>
        <v>6</v>
      </c>
      <c r="L6" s="181"/>
      <c r="M6" s="41" t="s">
        <v>152</v>
      </c>
      <c r="N6" s="1"/>
    </row>
    <row r="7" spans="1:27" s="180" customFormat="1" ht="198" x14ac:dyDescent="0.3">
      <c r="A7" s="180">
        <f t="shared" si="0"/>
        <v>7</v>
      </c>
      <c r="D7" s="186"/>
      <c r="E7" s="179" t="s">
        <v>704</v>
      </c>
      <c r="F7" s="179" t="s">
        <v>705</v>
      </c>
      <c r="G7" s="185">
        <v>912</v>
      </c>
      <c r="H7" s="184" t="e">
        <f>G7*O1</f>
        <v>#REF!</v>
      </c>
      <c r="I7" s="47"/>
      <c r="J7" s="41"/>
      <c r="K7" s="205">
        <f t="shared" si="1"/>
        <v>7</v>
      </c>
      <c r="L7" s="181"/>
      <c r="M7" s="41"/>
      <c r="N7" s="1"/>
    </row>
    <row r="8" spans="1:27" s="180" customFormat="1" ht="49.5" x14ac:dyDescent="0.3">
      <c r="A8" s="180">
        <f t="shared" si="0"/>
        <v>8</v>
      </c>
      <c r="D8" s="186"/>
      <c r="E8" s="179" t="s">
        <v>161</v>
      </c>
      <c r="F8" s="179" t="s">
        <v>162</v>
      </c>
      <c r="G8" s="185"/>
      <c r="H8" s="184"/>
      <c r="I8" s="47"/>
      <c r="J8" s="41"/>
      <c r="K8" s="205">
        <f t="shared" si="1"/>
        <v>8</v>
      </c>
      <c r="L8" s="181"/>
      <c r="M8" s="41"/>
      <c r="N8" s="1"/>
    </row>
    <row r="9" spans="1:27" s="180" customFormat="1" ht="66" x14ac:dyDescent="0.3">
      <c r="A9" s="180">
        <f t="shared" si="0"/>
        <v>9</v>
      </c>
      <c r="D9" s="187"/>
      <c r="E9" s="188" t="s">
        <v>966</v>
      </c>
      <c r="F9" s="179" t="s">
        <v>160</v>
      </c>
      <c r="G9" s="183">
        <v>44.34</v>
      </c>
      <c r="H9" s="184" t="e">
        <f>G9*O1</f>
        <v>#REF!</v>
      </c>
      <c r="I9" s="47">
        <v>0</v>
      </c>
      <c r="J9" s="41"/>
      <c r="K9" s="205">
        <f t="shared" si="1"/>
        <v>9</v>
      </c>
      <c r="L9" s="181"/>
      <c r="M9" s="41" t="s">
        <v>150</v>
      </c>
      <c r="N9" s="1"/>
    </row>
    <row r="10" spans="1:27" ht="66" x14ac:dyDescent="0.3">
      <c r="A10" s="180">
        <f t="shared" si="0"/>
        <v>10</v>
      </c>
      <c r="D10" s="187"/>
      <c r="E10" s="179" t="s">
        <v>151</v>
      </c>
      <c r="F10" s="179" t="s">
        <v>160</v>
      </c>
      <c r="G10" s="185">
        <v>39.61</v>
      </c>
      <c r="H10" s="184" t="e">
        <f>G10*O1</f>
        <v>#REF!</v>
      </c>
      <c r="I10" s="47"/>
      <c r="J10" s="41"/>
      <c r="K10" s="205">
        <f t="shared" si="1"/>
        <v>10</v>
      </c>
      <c r="L10" s="181"/>
      <c r="M10" s="41" t="s">
        <v>152</v>
      </c>
    </row>
    <row r="11" spans="1:27" s="180" customFormat="1" ht="66" x14ac:dyDescent="0.3">
      <c r="A11" s="180">
        <f t="shared" si="0"/>
        <v>11</v>
      </c>
      <c r="D11" s="187"/>
      <c r="E11" s="179" t="s">
        <v>155</v>
      </c>
      <c r="F11" s="179" t="s">
        <v>160</v>
      </c>
      <c r="G11" s="185">
        <v>39.61</v>
      </c>
      <c r="H11" s="184" t="e">
        <f>G11*O1</f>
        <v>#REF!</v>
      </c>
      <c r="I11" s="47"/>
      <c r="J11" s="41"/>
      <c r="K11" s="205">
        <f t="shared" si="1"/>
        <v>11</v>
      </c>
      <c r="L11" s="181"/>
      <c r="M11" s="41" t="s">
        <v>152</v>
      </c>
    </row>
    <row r="12" spans="1:27" s="180" customFormat="1" ht="214.5" x14ac:dyDescent="0.3">
      <c r="A12" s="180">
        <f t="shared" si="0"/>
        <v>12</v>
      </c>
      <c r="D12" s="187"/>
      <c r="E12" s="179" t="s">
        <v>707</v>
      </c>
      <c r="F12" s="179" t="s">
        <v>706</v>
      </c>
      <c r="G12" s="185">
        <v>893.33</v>
      </c>
      <c r="H12" s="184" t="e">
        <f>G12*O1</f>
        <v>#REF!</v>
      </c>
      <c r="I12" s="47"/>
      <c r="J12" s="41"/>
      <c r="K12" s="205">
        <f t="shared" si="1"/>
        <v>12</v>
      </c>
      <c r="L12" s="181"/>
      <c r="M12" s="41"/>
    </row>
    <row r="13" spans="1:27" s="180" customFormat="1" ht="49.5" x14ac:dyDescent="0.3">
      <c r="A13" s="180">
        <f t="shared" si="0"/>
        <v>13</v>
      </c>
      <c r="D13" s="187"/>
      <c r="E13" s="188" t="s">
        <v>161</v>
      </c>
      <c r="F13" s="320" t="s">
        <v>160</v>
      </c>
      <c r="G13" s="185"/>
      <c r="H13" s="184"/>
      <c r="I13" s="47"/>
      <c r="J13" s="41"/>
      <c r="K13" s="205">
        <f t="shared" si="1"/>
        <v>13</v>
      </c>
      <c r="L13" s="181"/>
      <c r="M13" s="41"/>
    </row>
    <row r="14" spans="1:27" ht="66" x14ac:dyDescent="0.3">
      <c r="A14" s="180">
        <f t="shared" si="0"/>
        <v>14</v>
      </c>
      <c r="D14" s="189"/>
      <c r="E14" s="179" t="s">
        <v>966</v>
      </c>
      <c r="F14" s="179" t="s">
        <v>163</v>
      </c>
      <c r="G14" s="183">
        <v>44.34</v>
      </c>
      <c r="H14" s="184" t="e">
        <f>G14*O1</f>
        <v>#REF!</v>
      </c>
      <c r="I14" s="47"/>
      <c r="J14" s="41"/>
      <c r="K14" s="205">
        <f t="shared" si="1"/>
        <v>14</v>
      </c>
      <c r="L14" s="181">
        <v>0</v>
      </c>
      <c r="M14" s="41" t="s">
        <v>150</v>
      </c>
    </row>
    <row r="15" spans="1:27" ht="66" x14ac:dyDescent="0.3">
      <c r="A15" s="180">
        <f t="shared" si="0"/>
        <v>15</v>
      </c>
      <c r="D15" s="189"/>
      <c r="E15" s="179" t="s">
        <v>967</v>
      </c>
      <c r="F15" s="320" t="s">
        <v>222</v>
      </c>
      <c r="G15" s="185">
        <v>39.61</v>
      </c>
      <c r="H15" s="184" t="e">
        <f>G15*O1</f>
        <v>#REF!</v>
      </c>
      <c r="I15" s="47"/>
      <c r="J15" s="41"/>
      <c r="K15" s="205">
        <f t="shared" si="1"/>
        <v>15</v>
      </c>
      <c r="L15" s="181">
        <v>0</v>
      </c>
      <c r="M15" s="41" t="s">
        <v>152</v>
      </c>
    </row>
    <row r="16" spans="1:27" s="180" customFormat="1" ht="66" x14ac:dyDescent="0.3">
      <c r="A16" s="180">
        <f t="shared" si="0"/>
        <v>16</v>
      </c>
      <c r="D16" s="189"/>
      <c r="E16" s="179" t="s">
        <v>172</v>
      </c>
      <c r="F16" s="179" t="s">
        <v>222</v>
      </c>
      <c r="G16" s="185">
        <v>36.42</v>
      </c>
      <c r="H16" s="184" t="e">
        <f>G16*O1</f>
        <v>#REF!</v>
      </c>
      <c r="I16" s="47"/>
      <c r="J16" s="41" t="s">
        <v>221</v>
      </c>
      <c r="K16" s="205">
        <f t="shared" si="1"/>
        <v>16</v>
      </c>
      <c r="L16" s="49">
        <v>1</v>
      </c>
      <c r="M16" s="44" t="s">
        <v>135</v>
      </c>
    </row>
    <row r="17" spans="1:13" s="180" customFormat="1" ht="66" x14ac:dyDescent="0.3">
      <c r="A17" s="180">
        <f t="shared" si="0"/>
        <v>17</v>
      </c>
      <c r="D17" s="189"/>
      <c r="E17" s="179" t="s">
        <v>175</v>
      </c>
      <c r="F17" s="179" t="s">
        <v>222</v>
      </c>
      <c r="G17" s="185">
        <v>72.849999999999994</v>
      </c>
      <c r="H17" s="185" t="e">
        <f>G17*O1</f>
        <v>#REF!</v>
      </c>
      <c r="I17" s="47"/>
      <c r="J17" s="41" t="s">
        <v>221</v>
      </c>
      <c r="K17" s="205">
        <f t="shared" si="1"/>
        <v>17</v>
      </c>
      <c r="L17" s="49">
        <v>1</v>
      </c>
      <c r="M17" s="44" t="s">
        <v>135</v>
      </c>
    </row>
    <row r="18" spans="1:13" s="180" customFormat="1" ht="66" x14ac:dyDescent="0.25">
      <c r="A18" s="180">
        <f t="shared" si="0"/>
        <v>18</v>
      </c>
      <c r="D18" s="189"/>
      <c r="E18" s="179" t="s">
        <v>133</v>
      </c>
      <c r="F18" s="179" t="s">
        <v>387</v>
      </c>
      <c r="G18" s="185">
        <v>36.42</v>
      </c>
      <c r="H18" s="185" t="e">
        <f>G18*O1</f>
        <v>#REF!</v>
      </c>
      <c r="I18" s="47"/>
      <c r="J18" s="44" t="s">
        <v>134</v>
      </c>
      <c r="K18" s="205">
        <f t="shared" si="1"/>
        <v>18</v>
      </c>
      <c r="L18" s="49">
        <v>1</v>
      </c>
      <c r="M18" s="44" t="s">
        <v>135</v>
      </c>
    </row>
    <row r="19" spans="1:13" s="180" customFormat="1" ht="66" x14ac:dyDescent="0.25">
      <c r="A19" s="180">
        <f t="shared" si="0"/>
        <v>19</v>
      </c>
      <c r="D19" s="189"/>
      <c r="E19" s="179" t="s">
        <v>136</v>
      </c>
      <c r="F19" s="179" t="s">
        <v>387</v>
      </c>
      <c r="G19" s="185">
        <v>39.74</v>
      </c>
      <c r="H19" s="184" t="e">
        <f>G19*O1</f>
        <v>#REF!</v>
      </c>
      <c r="I19" s="47"/>
      <c r="J19" s="44" t="s">
        <v>134</v>
      </c>
      <c r="K19" s="205">
        <f t="shared" si="1"/>
        <v>19</v>
      </c>
      <c r="L19" s="49">
        <v>1</v>
      </c>
      <c r="M19" s="44" t="s">
        <v>135</v>
      </c>
    </row>
    <row r="20" spans="1:13" s="180" customFormat="1" ht="66" x14ac:dyDescent="0.3">
      <c r="A20" s="180">
        <f t="shared" si="0"/>
        <v>20</v>
      </c>
      <c r="D20" s="189"/>
      <c r="E20" s="179" t="s">
        <v>176</v>
      </c>
      <c r="F20" s="179" t="s">
        <v>222</v>
      </c>
      <c r="G20" s="185">
        <v>55.73</v>
      </c>
      <c r="H20" s="185" t="e">
        <f>G20*O1</f>
        <v>#REF!</v>
      </c>
      <c r="I20" s="47"/>
      <c r="J20" s="41" t="s">
        <v>221</v>
      </c>
      <c r="K20" s="205">
        <f t="shared" si="1"/>
        <v>20</v>
      </c>
      <c r="L20" s="49">
        <v>2</v>
      </c>
      <c r="M20" s="44" t="s">
        <v>138</v>
      </c>
    </row>
    <row r="21" spans="1:13" s="180" customFormat="1" ht="66" x14ac:dyDescent="0.3">
      <c r="A21" s="180">
        <f t="shared" si="0"/>
        <v>21</v>
      </c>
      <c r="D21" s="189"/>
      <c r="E21" s="179" t="s">
        <v>177</v>
      </c>
      <c r="F21" s="179" t="s">
        <v>222</v>
      </c>
      <c r="G21" s="185">
        <v>67.819999999999993</v>
      </c>
      <c r="H21" s="185" t="e">
        <f>G21*O1</f>
        <v>#REF!</v>
      </c>
      <c r="I21" s="47"/>
      <c r="J21" s="41" t="s">
        <v>221</v>
      </c>
      <c r="K21" s="205">
        <f t="shared" si="1"/>
        <v>21</v>
      </c>
      <c r="L21" s="49">
        <v>2</v>
      </c>
      <c r="M21" s="44" t="s">
        <v>138</v>
      </c>
    </row>
    <row r="22" spans="1:13" s="180" customFormat="1" ht="66" x14ac:dyDescent="0.25">
      <c r="A22" s="180">
        <f t="shared" si="0"/>
        <v>22</v>
      </c>
      <c r="D22" s="189"/>
      <c r="E22" s="179" t="s">
        <v>137</v>
      </c>
      <c r="F22" s="179" t="s">
        <v>387</v>
      </c>
      <c r="G22" s="185">
        <v>32.56</v>
      </c>
      <c r="H22" s="184" t="e">
        <f>G22*O1</f>
        <v>#REF!</v>
      </c>
      <c r="I22" s="47"/>
      <c r="J22" s="44" t="s">
        <v>134</v>
      </c>
      <c r="K22" s="205">
        <f t="shared" si="1"/>
        <v>22</v>
      </c>
      <c r="L22" s="49">
        <v>2</v>
      </c>
      <c r="M22" s="44" t="s">
        <v>138</v>
      </c>
    </row>
    <row r="23" spans="1:13" s="180" customFormat="1" ht="66" x14ac:dyDescent="0.25">
      <c r="A23" s="180">
        <f t="shared" si="0"/>
        <v>23</v>
      </c>
      <c r="D23" s="189"/>
      <c r="E23" s="179" t="s">
        <v>139</v>
      </c>
      <c r="F23" s="179" t="s">
        <v>387</v>
      </c>
      <c r="G23" s="185">
        <v>34.700000000000003</v>
      </c>
      <c r="H23" s="184" t="e">
        <f>G23*O1</f>
        <v>#REF!</v>
      </c>
      <c r="I23" s="47"/>
      <c r="J23" s="44" t="s">
        <v>134</v>
      </c>
      <c r="K23" s="205">
        <f t="shared" si="1"/>
        <v>23</v>
      </c>
      <c r="L23" s="49">
        <v>2</v>
      </c>
      <c r="M23" s="44" t="s">
        <v>138</v>
      </c>
    </row>
    <row r="24" spans="1:13" s="180" customFormat="1" ht="49.5" x14ac:dyDescent="0.3">
      <c r="A24" s="180">
        <f t="shared" si="0"/>
        <v>24</v>
      </c>
      <c r="D24" s="189"/>
      <c r="E24" s="320" t="s">
        <v>161</v>
      </c>
      <c r="F24" s="320" t="s">
        <v>163</v>
      </c>
      <c r="G24" s="185"/>
      <c r="H24" s="185"/>
      <c r="I24" s="47"/>
      <c r="J24" s="41"/>
      <c r="K24" s="205">
        <f t="shared" si="1"/>
        <v>24</v>
      </c>
      <c r="L24" s="49"/>
      <c r="M24" s="44"/>
    </row>
    <row r="25" spans="1:13" s="180" customFormat="1" ht="49.5" x14ac:dyDescent="0.3">
      <c r="A25" s="180">
        <f t="shared" si="0"/>
        <v>25</v>
      </c>
      <c r="D25" s="189"/>
      <c r="E25" s="320" t="s">
        <v>151</v>
      </c>
      <c r="F25" s="320" t="s">
        <v>163</v>
      </c>
      <c r="G25" s="185"/>
      <c r="H25" s="185"/>
      <c r="I25" s="47"/>
      <c r="J25" s="41"/>
      <c r="K25" s="205">
        <f t="shared" si="1"/>
        <v>25</v>
      </c>
      <c r="L25" s="49"/>
      <c r="M25" s="44"/>
    </row>
    <row r="26" spans="1:13" ht="66" x14ac:dyDescent="0.3">
      <c r="A26" s="180">
        <f t="shared" si="0"/>
        <v>26</v>
      </c>
      <c r="D26" s="190"/>
      <c r="E26" s="320" t="s">
        <v>968</v>
      </c>
      <c r="F26" s="320" t="s">
        <v>867</v>
      </c>
      <c r="G26" s="185">
        <v>102.6</v>
      </c>
      <c r="H26" s="184" t="e">
        <f>G26*O1</f>
        <v>#REF!</v>
      </c>
      <c r="I26" s="47"/>
      <c r="J26" s="41"/>
      <c r="K26" s="205">
        <f t="shared" si="1"/>
        <v>26</v>
      </c>
      <c r="L26" s="181"/>
      <c r="M26" s="41"/>
    </row>
    <row r="27" spans="1:13" ht="66" x14ac:dyDescent="0.3">
      <c r="A27" s="180">
        <f t="shared" si="0"/>
        <v>27</v>
      </c>
      <c r="D27" s="190"/>
      <c r="E27" s="320" t="s">
        <v>969</v>
      </c>
      <c r="F27" s="320" t="s">
        <v>167</v>
      </c>
      <c r="G27" s="185">
        <v>110.52</v>
      </c>
      <c r="H27" s="184" t="e">
        <f>G27*O1</f>
        <v>#REF!</v>
      </c>
      <c r="I27" s="47"/>
      <c r="J27" s="41"/>
      <c r="K27" s="205">
        <f t="shared" si="1"/>
        <v>27</v>
      </c>
      <c r="L27" s="181"/>
      <c r="M27" s="41"/>
    </row>
    <row r="28" spans="1:13" ht="66" x14ac:dyDescent="0.3">
      <c r="A28" s="180">
        <f t="shared" si="0"/>
        <v>28</v>
      </c>
      <c r="D28" s="190"/>
      <c r="E28" s="320" t="s">
        <v>970</v>
      </c>
      <c r="F28" s="191" t="s">
        <v>868</v>
      </c>
      <c r="G28" s="185">
        <v>137.12</v>
      </c>
      <c r="H28" s="184" t="e">
        <f>G28*O1</f>
        <v>#REF!</v>
      </c>
      <c r="I28" s="47"/>
      <c r="J28" s="41"/>
      <c r="K28" s="205">
        <f t="shared" si="1"/>
        <v>28</v>
      </c>
      <c r="L28" s="181"/>
      <c r="M28" s="41"/>
    </row>
    <row r="29" spans="1:13" ht="66" x14ac:dyDescent="0.3">
      <c r="A29" s="180">
        <f t="shared" si="0"/>
        <v>29</v>
      </c>
      <c r="D29" s="190"/>
      <c r="E29" s="179" t="s">
        <v>157</v>
      </c>
      <c r="F29" s="179" t="s">
        <v>165</v>
      </c>
      <c r="G29" s="185">
        <v>56.22</v>
      </c>
      <c r="H29" s="184" t="e">
        <f>G29*O1</f>
        <v>#REF!</v>
      </c>
      <c r="I29" s="47"/>
      <c r="J29" s="41"/>
      <c r="K29" s="205">
        <f t="shared" si="1"/>
        <v>29</v>
      </c>
      <c r="L29" s="181"/>
      <c r="M29" s="41"/>
    </row>
    <row r="30" spans="1:13" ht="66" x14ac:dyDescent="0.3">
      <c r="A30" s="180">
        <f t="shared" si="0"/>
        <v>30</v>
      </c>
      <c r="D30" s="190"/>
      <c r="E30" s="179" t="s">
        <v>159</v>
      </c>
      <c r="F30" s="179" t="s">
        <v>167</v>
      </c>
      <c r="G30" s="185">
        <v>61.11</v>
      </c>
      <c r="H30" s="184" t="e">
        <f>G30*O1</f>
        <v>#REF!</v>
      </c>
      <c r="I30" s="47"/>
      <c r="J30" s="41"/>
      <c r="K30" s="205">
        <f t="shared" si="1"/>
        <v>30</v>
      </c>
      <c r="L30" s="181"/>
      <c r="M30" s="41"/>
    </row>
    <row r="31" spans="1:13" ht="66" x14ac:dyDescent="0.25">
      <c r="A31" s="180">
        <f t="shared" si="0"/>
        <v>31</v>
      </c>
      <c r="D31" s="190"/>
      <c r="E31" s="179" t="s">
        <v>119</v>
      </c>
      <c r="F31" s="179" t="s">
        <v>166</v>
      </c>
      <c r="G31" s="185">
        <v>70.89</v>
      </c>
      <c r="H31" s="184" t="e">
        <f>G31*O1</f>
        <v>#REF!</v>
      </c>
      <c r="I31" s="47"/>
      <c r="J31" s="44"/>
      <c r="K31" s="205">
        <f t="shared" si="1"/>
        <v>31</v>
      </c>
      <c r="L31" s="49"/>
      <c r="M31" s="44"/>
    </row>
    <row r="32" spans="1:13" s="180" customFormat="1" ht="82.5" x14ac:dyDescent="0.25">
      <c r="A32" s="180">
        <f t="shared" si="0"/>
        <v>32</v>
      </c>
      <c r="D32" s="190"/>
      <c r="E32" s="179" t="s">
        <v>709</v>
      </c>
      <c r="F32" s="179" t="s">
        <v>708</v>
      </c>
      <c r="G32" s="185">
        <v>1088.3699999999999</v>
      </c>
      <c r="H32" s="184" t="e">
        <f>G32*O1</f>
        <v>#REF!</v>
      </c>
      <c r="I32" s="47"/>
      <c r="J32" s="44"/>
      <c r="K32" s="205">
        <f t="shared" si="1"/>
        <v>32</v>
      </c>
      <c r="L32" s="49"/>
      <c r="M32" s="44"/>
    </row>
    <row r="33" spans="1:14" s="180" customFormat="1" ht="82.5" x14ac:dyDescent="0.25">
      <c r="A33" s="180">
        <f t="shared" si="0"/>
        <v>33</v>
      </c>
      <c r="D33" s="190"/>
      <c r="E33" s="179" t="s">
        <v>711</v>
      </c>
      <c r="F33" s="179" t="s">
        <v>710</v>
      </c>
      <c r="G33" s="185">
        <v>1168.6500000000001</v>
      </c>
      <c r="H33" s="184" t="e">
        <f>G33*O1</f>
        <v>#REF!</v>
      </c>
      <c r="I33" s="47"/>
      <c r="J33" s="44"/>
      <c r="K33" s="205">
        <f t="shared" si="1"/>
        <v>33</v>
      </c>
      <c r="L33" s="49"/>
      <c r="M33" s="44"/>
    </row>
    <row r="34" spans="1:14" ht="49.5" x14ac:dyDescent="0.25">
      <c r="A34" s="180">
        <f t="shared" si="0"/>
        <v>34</v>
      </c>
      <c r="D34" s="192"/>
      <c r="E34" s="44" t="s">
        <v>120</v>
      </c>
      <c r="F34" s="44" t="s">
        <v>168</v>
      </c>
      <c r="G34" s="61">
        <v>47.5</v>
      </c>
      <c r="H34" s="184" t="e">
        <f>G34*O1</f>
        <v>#REF!</v>
      </c>
      <c r="I34" s="47"/>
      <c r="J34" s="44"/>
      <c r="K34" s="205">
        <f t="shared" si="1"/>
        <v>34</v>
      </c>
      <c r="L34" s="49">
        <v>0</v>
      </c>
      <c r="M34" s="44" t="s">
        <v>122</v>
      </c>
    </row>
    <row r="35" spans="1:14" ht="66" x14ac:dyDescent="0.25">
      <c r="A35" s="180">
        <f t="shared" si="0"/>
        <v>35</v>
      </c>
      <c r="D35" s="192"/>
      <c r="E35" s="179" t="s">
        <v>123</v>
      </c>
      <c r="F35" s="179" t="s">
        <v>168</v>
      </c>
      <c r="G35" s="185">
        <v>88</v>
      </c>
      <c r="H35" s="184" t="e">
        <f>G35*O1</f>
        <v>#REF!</v>
      </c>
      <c r="I35" s="47"/>
      <c r="J35" s="44" t="s">
        <v>121</v>
      </c>
      <c r="K35" s="205">
        <f t="shared" si="1"/>
        <v>35</v>
      </c>
      <c r="L35" s="49">
        <v>0</v>
      </c>
      <c r="M35" s="44" t="s">
        <v>124</v>
      </c>
      <c r="N35" s="178"/>
    </row>
    <row r="36" spans="1:14" s="180" customFormat="1" ht="33" x14ac:dyDescent="0.25">
      <c r="A36" s="180">
        <f t="shared" si="0"/>
        <v>36</v>
      </c>
      <c r="D36" s="192"/>
      <c r="E36" s="179" t="s">
        <v>386</v>
      </c>
      <c r="F36" s="179" t="s">
        <v>385</v>
      </c>
      <c r="G36" s="185"/>
      <c r="H36" s="184"/>
      <c r="I36" s="47"/>
      <c r="J36" s="44"/>
      <c r="K36" s="205">
        <f t="shared" si="1"/>
        <v>36</v>
      </c>
      <c r="L36" s="49"/>
      <c r="M36" s="44"/>
      <c r="N36" s="178"/>
    </row>
    <row r="37" spans="1:14" s="180" customFormat="1" ht="16.5" x14ac:dyDescent="0.25">
      <c r="A37" s="180">
        <f t="shared" si="0"/>
        <v>37</v>
      </c>
      <c r="D37" s="192"/>
      <c r="E37" s="179"/>
      <c r="F37" s="179"/>
      <c r="G37" s="185"/>
      <c r="H37" s="184"/>
      <c r="I37" s="47"/>
      <c r="J37" s="44"/>
      <c r="K37" s="205">
        <f t="shared" si="1"/>
        <v>37</v>
      </c>
      <c r="L37" s="49"/>
      <c r="M37" s="44"/>
      <c r="N37" s="178"/>
    </row>
    <row r="38" spans="1:14" s="180" customFormat="1" ht="16.5" x14ac:dyDescent="0.25">
      <c r="A38" s="180">
        <f t="shared" si="0"/>
        <v>38</v>
      </c>
      <c r="D38" s="192"/>
      <c r="E38" s="179"/>
      <c r="F38" s="179"/>
      <c r="G38" s="185"/>
      <c r="H38" s="184"/>
      <c r="I38" s="47"/>
      <c r="J38" s="44"/>
      <c r="K38" s="205">
        <f t="shared" si="1"/>
        <v>38</v>
      </c>
      <c r="L38" s="49"/>
      <c r="M38" s="44"/>
      <c r="N38" s="178"/>
    </row>
    <row r="39" spans="1:14" ht="66" x14ac:dyDescent="0.25">
      <c r="A39" s="180">
        <f t="shared" si="0"/>
        <v>39</v>
      </c>
      <c r="D39" s="193"/>
      <c r="E39" s="179" t="s">
        <v>971</v>
      </c>
      <c r="F39" s="179" t="s">
        <v>171</v>
      </c>
      <c r="G39" s="185">
        <v>38.22</v>
      </c>
      <c r="H39" s="184" t="e">
        <f>G39*O1</f>
        <v>#REF!</v>
      </c>
      <c r="I39" s="47"/>
      <c r="J39" s="44" t="s">
        <v>134</v>
      </c>
      <c r="K39" s="205">
        <f t="shared" si="1"/>
        <v>39</v>
      </c>
      <c r="L39" s="49">
        <v>1</v>
      </c>
      <c r="M39" s="44" t="s">
        <v>135</v>
      </c>
    </row>
    <row r="40" spans="1:14" ht="66" x14ac:dyDescent="0.25">
      <c r="A40" s="180">
        <f t="shared" si="0"/>
        <v>40</v>
      </c>
      <c r="D40" s="193"/>
      <c r="E40" s="320" t="s">
        <v>784</v>
      </c>
      <c r="F40" s="320" t="s">
        <v>171</v>
      </c>
      <c r="G40" s="185">
        <v>36.42</v>
      </c>
      <c r="H40" s="184" t="e">
        <f>G40*O1</f>
        <v>#REF!</v>
      </c>
      <c r="I40" s="47"/>
      <c r="J40" s="44" t="s">
        <v>134</v>
      </c>
      <c r="K40" s="205">
        <f t="shared" si="1"/>
        <v>40</v>
      </c>
      <c r="L40" s="49">
        <v>1</v>
      </c>
      <c r="M40" s="44" t="s">
        <v>135</v>
      </c>
      <c r="N40" s="178"/>
    </row>
    <row r="41" spans="1:14" ht="66" x14ac:dyDescent="0.25">
      <c r="A41" s="180">
        <f t="shared" si="0"/>
        <v>41</v>
      </c>
      <c r="D41" s="193"/>
      <c r="E41" s="179" t="s">
        <v>137</v>
      </c>
      <c r="F41" s="179" t="s">
        <v>171</v>
      </c>
      <c r="G41" s="185">
        <v>32.56</v>
      </c>
      <c r="H41" s="184" t="e">
        <f>G41*O1</f>
        <v>#REF!</v>
      </c>
      <c r="I41" s="47"/>
      <c r="J41" s="44" t="s">
        <v>134</v>
      </c>
      <c r="K41" s="205">
        <f t="shared" si="1"/>
        <v>41</v>
      </c>
      <c r="L41" s="49">
        <v>2</v>
      </c>
      <c r="M41" s="44" t="s">
        <v>138</v>
      </c>
    </row>
    <row r="42" spans="1:14" ht="66" x14ac:dyDescent="0.25">
      <c r="A42" s="180">
        <f t="shared" si="0"/>
        <v>42</v>
      </c>
      <c r="D42" s="193"/>
      <c r="E42" s="179" t="s">
        <v>139</v>
      </c>
      <c r="F42" s="179" t="s">
        <v>171</v>
      </c>
      <c r="G42" s="185">
        <v>34.700000000000003</v>
      </c>
      <c r="H42" s="184" t="e">
        <f>G42*O1</f>
        <v>#REF!</v>
      </c>
      <c r="I42" s="47"/>
      <c r="J42" s="44" t="s">
        <v>134</v>
      </c>
      <c r="K42" s="205">
        <f t="shared" si="1"/>
        <v>42</v>
      </c>
      <c r="L42" s="49">
        <v>2</v>
      </c>
      <c r="M42" s="44" t="s">
        <v>138</v>
      </c>
    </row>
    <row r="43" spans="1:14" s="180" customFormat="1" ht="132" x14ac:dyDescent="0.25">
      <c r="A43" s="180">
        <f t="shared" si="0"/>
        <v>43</v>
      </c>
      <c r="D43" s="193"/>
      <c r="E43" s="179" t="s">
        <v>713</v>
      </c>
      <c r="F43" s="179" t="s">
        <v>712</v>
      </c>
      <c r="G43" s="185">
        <v>222.1</v>
      </c>
      <c r="H43" s="184" t="e">
        <f>G43*O1</f>
        <v>#REF!</v>
      </c>
      <c r="I43" s="47"/>
      <c r="J43" s="44" t="s">
        <v>714</v>
      </c>
      <c r="K43" s="205">
        <f t="shared" si="1"/>
        <v>43</v>
      </c>
      <c r="L43" s="49"/>
      <c r="M43" s="44"/>
    </row>
    <row r="44" spans="1:14" s="180" customFormat="1" ht="66" x14ac:dyDescent="0.25">
      <c r="A44" s="180">
        <f t="shared" si="0"/>
        <v>44</v>
      </c>
      <c r="D44" s="193"/>
      <c r="E44" s="320" t="s">
        <v>133</v>
      </c>
      <c r="F44" s="320" t="s">
        <v>171</v>
      </c>
      <c r="G44" s="185"/>
      <c r="H44" s="184"/>
      <c r="I44" s="47"/>
      <c r="J44" s="44"/>
      <c r="K44" s="205">
        <f t="shared" si="1"/>
        <v>44</v>
      </c>
      <c r="L44" s="49"/>
      <c r="M44" s="44"/>
    </row>
    <row r="45" spans="1:14" ht="66" x14ac:dyDescent="0.3">
      <c r="A45" s="180">
        <f t="shared" si="0"/>
        <v>45</v>
      </c>
      <c r="D45" s="195"/>
      <c r="E45" s="320" t="s">
        <v>967</v>
      </c>
      <c r="F45" s="179" t="s">
        <v>196</v>
      </c>
      <c r="G45" s="185">
        <v>38.520000000000003</v>
      </c>
      <c r="H45" s="184" t="e">
        <f>G45*O1</f>
        <v>#REF!</v>
      </c>
      <c r="I45" s="47"/>
      <c r="J45" s="41" t="s">
        <v>173</v>
      </c>
      <c r="K45" s="205">
        <f t="shared" si="1"/>
        <v>45</v>
      </c>
      <c r="L45" s="49">
        <v>1</v>
      </c>
      <c r="M45" s="44" t="s">
        <v>135</v>
      </c>
    </row>
    <row r="46" spans="1:14" s="180" customFormat="1" ht="66" x14ac:dyDescent="0.25">
      <c r="A46" s="180">
        <f t="shared" si="0"/>
        <v>46</v>
      </c>
      <c r="D46" s="195"/>
      <c r="E46" s="320" t="s">
        <v>783</v>
      </c>
      <c r="F46" s="320" t="s">
        <v>196</v>
      </c>
      <c r="G46" s="185">
        <v>36.42</v>
      </c>
      <c r="H46" s="185" t="e">
        <f>G46*O1</f>
        <v>#REF!</v>
      </c>
      <c r="I46" s="47"/>
      <c r="J46" s="44" t="s">
        <v>173</v>
      </c>
      <c r="K46" s="205">
        <f t="shared" si="1"/>
        <v>46</v>
      </c>
      <c r="L46" s="49">
        <v>1</v>
      </c>
      <c r="M46" s="44" t="s">
        <v>135</v>
      </c>
    </row>
    <row r="47" spans="1:14" s="180" customFormat="1" ht="66" x14ac:dyDescent="0.25">
      <c r="A47" s="180">
        <f t="shared" si="0"/>
        <v>47</v>
      </c>
      <c r="D47" s="195"/>
      <c r="E47" s="179" t="s">
        <v>176</v>
      </c>
      <c r="F47" s="179" t="s">
        <v>196</v>
      </c>
      <c r="G47" s="185">
        <v>55.73</v>
      </c>
      <c r="H47" s="185" t="e">
        <f>G47*O1</f>
        <v>#REF!</v>
      </c>
      <c r="I47" s="47"/>
      <c r="J47" s="44" t="s">
        <v>173</v>
      </c>
      <c r="K47" s="205">
        <f t="shared" si="1"/>
        <v>47</v>
      </c>
      <c r="L47" s="49">
        <v>2</v>
      </c>
      <c r="M47" s="44" t="s">
        <v>138</v>
      </c>
    </row>
    <row r="48" spans="1:14" s="180" customFormat="1" ht="66" x14ac:dyDescent="0.25">
      <c r="A48" s="180">
        <f t="shared" si="0"/>
        <v>48</v>
      </c>
      <c r="D48" s="195"/>
      <c r="E48" s="179" t="s">
        <v>177</v>
      </c>
      <c r="F48" s="179" t="s">
        <v>196</v>
      </c>
      <c r="G48" s="185">
        <v>67.819999999999993</v>
      </c>
      <c r="H48" s="185" t="e">
        <f>G48*O1</f>
        <v>#REF!</v>
      </c>
      <c r="I48" s="47"/>
      <c r="J48" s="44" t="s">
        <v>173</v>
      </c>
      <c r="K48" s="205">
        <f t="shared" si="1"/>
        <v>48</v>
      </c>
      <c r="L48" s="49">
        <v>2</v>
      </c>
      <c r="M48" s="44" t="s">
        <v>138</v>
      </c>
    </row>
    <row r="49" spans="1:13" s="180" customFormat="1" ht="66" x14ac:dyDescent="0.3">
      <c r="A49" s="180">
        <f t="shared" si="0"/>
        <v>49</v>
      </c>
      <c r="D49" s="195"/>
      <c r="E49" s="179" t="s">
        <v>786</v>
      </c>
      <c r="F49" s="179" t="s">
        <v>785</v>
      </c>
      <c r="G49" s="185">
        <v>38.520000000000003</v>
      </c>
      <c r="H49" s="185" t="e">
        <f>G49*O1</f>
        <v>#REF!</v>
      </c>
      <c r="I49" s="199"/>
      <c r="J49" s="41" t="s">
        <v>173</v>
      </c>
      <c r="K49" s="205">
        <f t="shared" si="1"/>
        <v>49</v>
      </c>
      <c r="L49" s="49">
        <v>1</v>
      </c>
      <c r="M49" s="44" t="s">
        <v>135</v>
      </c>
    </row>
    <row r="50" spans="1:13" s="180" customFormat="1" ht="132" x14ac:dyDescent="0.25">
      <c r="A50" s="180">
        <f t="shared" si="0"/>
        <v>50</v>
      </c>
      <c r="D50" s="195"/>
      <c r="E50" s="179" t="s">
        <v>717</v>
      </c>
      <c r="F50" s="179" t="s">
        <v>715</v>
      </c>
      <c r="G50" s="185">
        <v>238.4</v>
      </c>
      <c r="H50" s="185" t="e">
        <f>G50*O1</f>
        <v>#REF!</v>
      </c>
      <c r="I50" s="47"/>
      <c r="J50" s="44" t="s">
        <v>716</v>
      </c>
      <c r="K50" s="205">
        <f t="shared" si="1"/>
        <v>50</v>
      </c>
      <c r="L50" s="49"/>
      <c r="M50" s="44"/>
    </row>
    <row r="51" spans="1:13" s="180" customFormat="1" ht="66" x14ac:dyDescent="0.25">
      <c r="A51" s="180">
        <f t="shared" si="0"/>
        <v>51</v>
      </c>
      <c r="D51" s="195"/>
      <c r="E51" s="320" t="s">
        <v>172</v>
      </c>
      <c r="F51" s="320" t="s">
        <v>196</v>
      </c>
      <c r="G51" s="185"/>
      <c r="H51" s="185"/>
      <c r="I51" s="47"/>
      <c r="J51" s="44"/>
      <c r="K51" s="205">
        <f t="shared" si="1"/>
        <v>51</v>
      </c>
      <c r="L51" s="49"/>
      <c r="M51" s="44"/>
    </row>
    <row r="52" spans="1:13" ht="66" x14ac:dyDescent="0.3">
      <c r="A52" s="180">
        <f t="shared" si="0"/>
        <v>52</v>
      </c>
      <c r="D52" s="196"/>
      <c r="E52" s="179" t="s">
        <v>967</v>
      </c>
      <c r="F52" s="179" t="s">
        <v>197</v>
      </c>
      <c r="G52" s="185">
        <v>38.520000000000003</v>
      </c>
      <c r="H52" s="185" t="e">
        <f>G52*O1</f>
        <v>#REF!</v>
      </c>
      <c r="I52" s="47"/>
      <c r="J52" s="41" t="s">
        <v>173</v>
      </c>
      <c r="K52" s="205">
        <f t="shared" si="1"/>
        <v>52</v>
      </c>
      <c r="L52" s="49">
        <v>1</v>
      </c>
      <c r="M52" s="44" t="s">
        <v>135</v>
      </c>
    </row>
    <row r="53" spans="1:13" s="180" customFormat="1" ht="66" x14ac:dyDescent="0.25">
      <c r="A53" s="180">
        <f t="shared" si="0"/>
        <v>53</v>
      </c>
      <c r="D53" s="196"/>
      <c r="E53" s="320" t="s">
        <v>869</v>
      </c>
      <c r="F53" s="320" t="s">
        <v>870</v>
      </c>
      <c r="G53" s="185">
        <v>72.849999999999994</v>
      </c>
      <c r="H53" s="185" t="e">
        <f>G53*O1</f>
        <v>#REF!</v>
      </c>
      <c r="I53" s="47"/>
      <c r="J53" s="44" t="s">
        <v>173</v>
      </c>
      <c r="K53" s="205">
        <f t="shared" si="1"/>
        <v>53</v>
      </c>
      <c r="L53" s="49">
        <v>1</v>
      </c>
      <c r="M53" s="44" t="s">
        <v>135</v>
      </c>
    </row>
    <row r="54" spans="1:13" s="180" customFormat="1" ht="66" x14ac:dyDescent="0.25">
      <c r="A54" s="180">
        <f t="shared" si="0"/>
        <v>54</v>
      </c>
      <c r="D54" s="196"/>
      <c r="E54" s="179" t="s">
        <v>176</v>
      </c>
      <c r="F54" s="179" t="s">
        <v>197</v>
      </c>
      <c r="G54" s="185">
        <v>55.73</v>
      </c>
      <c r="H54" s="185" t="e">
        <f>G54*O1</f>
        <v>#REF!</v>
      </c>
      <c r="I54" s="47"/>
      <c r="J54" s="44" t="s">
        <v>173</v>
      </c>
      <c r="K54" s="205">
        <f t="shared" si="1"/>
        <v>54</v>
      </c>
      <c r="L54" s="49">
        <v>2</v>
      </c>
      <c r="M54" s="44" t="s">
        <v>138</v>
      </c>
    </row>
    <row r="55" spans="1:13" s="180" customFormat="1" ht="66" x14ac:dyDescent="0.25">
      <c r="A55" s="180">
        <f t="shared" si="0"/>
        <v>55</v>
      </c>
      <c r="D55" s="196"/>
      <c r="E55" s="179" t="s">
        <v>177</v>
      </c>
      <c r="F55" s="179" t="s">
        <v>197</v>
      </c>
      <c r="G55" s="185">
        <v>67.819999999999993</v>
      </c>
      <c r="H55" s="185" t="e">
        <f>G55*O1</f>
        <v>#REF!</v>
      </c>
      <c r="I55" s="47"/>
      <c r="J55" s="44" t="s">
        <v>173</v>
      </c>
      <c r="K55" s="205">
        <f t="shared" si="1"/>
        <v>55</v>
      </c>
      <c r="L55" s="49">
        <v>2</v>
      </c>
      <c r="M55" s="44" t="s">
        <v>138</v>
      </c>
    </row>
    <row r="56" spans="1:13" s="180" customFormat="1" ht="66" x14ac:dyDescent="0.25">
      <c r="A56" s="180">
        <f t="shared" si="0"/>
        <v>56</v>
      </c>
      <c r="D56" s="196"/>
      <c r="E56" s="179" t="s">
        <v>178</v>
      </c>
      <c r="F56" s="179" t="s">
        <v>202</v>
      </c>
      <c r="G56" s="185">
        <v>29.14</v>
      </c>
      <c r="H56" s="185" t="e">
        <f>G56*O1</f>
        <v>#REF!</v>
      </c>
      <c r="I56" s="47"/>
      <c r="J56" s="44" t="s">
        <v>179</v>
      </c>
      <c r="K56" s="205">
        <f t="shared" si="1"/>
        <v>56</v>
      </c>
      <c r="L56" s="49">
        <v>1</v>
      </c>
      <c r="M56" s="44" t="s">
        <v>135</v>
      </c>
    </row>
    <row r="57" spans="1:13" s="180" customFormat="1" ht="66" x14ac:dyDescent="0.25">
      <c r="A57" s="180">
        <f t="shared" si="0"/>
        <v>57</v>
      </c>
      <c r="D57" s="196"/>
      <c r="E57" s="179" t="s">
        <v>184</v>
      </c>
      <c r="F57" s="179" t="s">
        <v>202</v>
      </c>
      <c r="G57" s="185">
        <v>51.08</v>
      </c>
      <c r="H57" s="185" t="e">
        <f>G57*O1</f>
        <v>#REF!</v>
      </c>
      <c r="I57" s="47"/>
      <c r="J57" s="44" t="s">
        <v>185</v>
      </c>
      <c r="K57" s="205">
        <f t="shared" si="1"/>
        <v>57</v>
      </c>
      <c r="L57" s="49">
        <v>1</v>
      </c>
      <c r="M57" s="44" t="s">
        <v>135</v>
      </c>
    </row>
    <row r="58" spans="1:13" s="180" customFormat="1" ht="66" x14ac:dyDescent="0.25">
      <c r="A58" s="180">
        <f t="shared" si="0"/>
        <v>58</v>
      </c>
      <c r="D58" s="196"/>
      <c r="E58" s="179" t="s">
        <v>186</v>
      </c>
      <c r="F58" s="179" t="s">
        <v>202</v>
      </c>
      <c r="G58" s="185">
        <v>19.809999999999999</v>
      </c>
      <c r="H58" s="185" t="e">
        <f>G58*O1</f>
        <v>#REF!</v>
      </c>
      <c r="I58" s="47"/>
      <c r="J58" s="44" t="s">
        <v>185</v>
      </c>
      <c r="K58" s="205">
        <f t="shared" si="1"/>
        <v>58</v>
      </c>
      <c r="L58" s="49">
        <v>2</v>
      </c>
      <c r="M58" s="44" t="s">
        <v>138</v>
      </c>
    </row>
    <row r="59" spans="1:13" s="180" customFormat="1" ht="66" x14ac:dyDescent="0.25">
      <c r="A59" s="180">
        <f t="shared" si="0"/>
        <v>59</v>
      </c>
      <c r="D59" s="196"/>
      <c r="E59" s="179" t="s">
        <v>187</v>
      </c>
      <c r="F59" s="179" t="s">
        <v>202</v>
      </c>
      <c r="G59" s="185">
        <v>49.27</v>
      </c>
      <c r="H59" s="185" t="e">
        <f>G59*O1</f>
        <v>#REF!</v>
      </c>
      <c r="I59" s="47"/>
      <c r="J59" s="44" t="s">
        <v>185</v>
      </c>
      <c r="K59" s="205">
        <f t="shared" si="1"/>
        <v>59</v>
      </c>
      <c r="L59" s="49">
        <v>2</v>
      </c>
      <c r="M59" s="44" t="s">
        <v>138</v>
      </c>
    </row>
    <row r="60" spans="1:13" s="180" customFormat="1" ht="99" x14ac:dyDescent="0.25">
      <c r="A60" s="180">
        <f t="shared" si="0"/>
        <v>60</v>
      </c>
      <c r="D60" s="196"/>
      <c r="E60" s="179" t="s">
        <v>719</v>
      </c>
      <c r="F60" s="179" t="s">
        <v>718</v>
      </c>
      <c r="G60" s="185">
        <v>194.8</v>
      </c>
      <c r="H60" s="185" t="e">
        <f>G60*O1</f>
        <v>#REF!</v>
      </c>
      <c r="I60" s="47"/>
      <c r="J60" s="44"/>
      <c r="K60" s="205">
        <f t="shared" si="1"/>
        <v>60</v>
      </c>
      <c r="L60" s="49"/>
      <c r="M60" s="44"/>
    </row>
    <row r="61" spans="1:13" s="180" customFormat="1" ht="66" x14ac:dyDescent="0.25">
      <c r="A61" s="180">
        <f t="shared" si="0"/>
        <v>61</v>
      </c>
      <c r="D61" s="196"/>
      <c r="E61" s="320" t="s">
        <v>783</v>
      </c>
      <c r="F61" s="320" t="s">
        <v>197</v>
      </c>
      <c r="G61" s="185"/>
      <c r="H61" s="185"/>
      <c r="I61" s="47"/>
      <c r="J61" s="44"/>
      <c r="K61" s="205">
        <f t="shared" si="1"/>
        <v>61</v>
      </c>
      <c r="L61" s="49"/>
      <c r="M61" s="44"/>
    </row>
    <row r="62" spans="1:13" ht="66" x14ac:dyDescent="0.3">
      <c r="A62" s="180">
        <f t="shared" si="0"/>
        <v>62</v>
      </c>
      <c r="D62" s="197"/>
      <c r="E62" s="320" t="s">
        <v>967</v>
      </c>
      <c r="F62" s="320" t="s">
        <v>198</v>
      </c>
      <c r="G62" s="185">
        <v>38.520000000000003</v>
      </c>
      <c r="H62" s="185" t="e">
        <f>G62*O1</f>
        <v>#REF!</v>
      </c>
      <c r="I62" s="47"/>
      <c r="J62" s="41" t="s">
        <v>173</v>
      </c>
      <c r="K62" s="205">
        <f t="shared" si="1"/>
        <v>62</v>
      </c>
      <c r="L62" s="49">
        <v>1</v>
      </c>
      <c r="M62" s="44" t="s">
        <v>135</v>
      </c>
    </row>
    <row r="63" spans="1:13" s="180" customFormat="1" ht="66" x14ac:dyDescent="0.25">
      <c r="A63" s="180">
        <f t="shared" si="0"/>
        <v>63</v>
      </c>
      <c r="D63" s="197"/>
      <c r="E63" s="320" t="s">
        <v>871</v>
      </c>
      <c r="F63" s="320" t="s">
        <v>200</v>
      </c>
      <c r="G63" s="185">
        <v>72.849999999999994</v>
      </c>
      <c r="H63" s="185" t="e">
        <f>G63*O1</f>
        <v>#REF!</v>
      </c>
      <c r="I63" s="47"/>
      <c r="J63" s="44" t="s">
        <v>173</v>
      </c>
      <c r="K63" s="205">
        <f t="shared" si="1"/>
        <v>63</v>
      </c>
      <c r="L63" s="49">
        <v>1</v>
      </c>
      <c r="M63" s="44" t="s">
        <v>135</v>
      </c>
    </row>
    <row r="64" spans="1:13" s="180" customFormat="1" ht="66" x14ac:dyDescent="0.25">
      <c r="A64" s="180">
        <f t="shared" si="0"/>
        <v>64</v>
      </c>
      <c r="D64" s="197"/>
      <c r="E64" s="179" t="s">
        <v>176</v>
      </c>
      <c r="F64" s="179" t="s">
        <v>198</v>
      </c>
      <c r="G64" s="185">
        <v>55.73</v>
      </c>
      <c r="H64" s="185" t="e">
        <f>G64*O1</f>
        <v>#REF!</v>
      </c>
      <c r="I64" s="47"/>
      <c r="J64" s="44" t="s">
        <v>173</v>
      </c>
      <c r="K64" s="205">
        <f t="shared" si="1"/>
        <v>64</v>
      </c>
      <c r="L64" s="49">
        <v>2</v>
      </c>
      <c r="M64" s="44" t="s">
        <v>138</v>
      </c>
    </row>
    <row r="65" spans="1:13" s="180" customFormat="1" ht="66" x14ac:dyDescent="0.25">
      <c r="A65" s="180">
        <f t="shared" si="0"/>
        <v>65</v>
      </c>
      <c r="D65" s="197"/>
      <c r="E65" s="179" t="s">
        <v>177</v>
      </c>
      <c r="F65" s="179" t="s">
        <v>198</v>
      </c>
      <c r="G65" s="185">
        <v>67.819999999999993</v>
      </c>
      <c r="H65" s="185" t="e">
        <f>G65*O1</f>
        <v>#REF!</v>
      </c>
      <c r="I65" s="47"/>
      <c r="J65" s="44" t="s">
        <v>173</v>
      </c>
      <c r="K65" s="205">
        <f t="shared" si="1"/>
        <v>65</v>
      </c>
      <c r="L65" s="49">
        <v>2</v>
      </c>
      <c r="M65" s="44" t="s">
        <v>138</v>
      </c>
    </row>
    <row r="66" spans="1:13" s="180" customFormat="1" ht="66" x14ac:dyDescent="0.25">
      <c r="A66" s="180">
        <f t="shared" si="0"/>
        <v>66</v>
      </c>
      <c r="D66" s="197"/>
      <c r="E66" s="179" t="s">
        <v>178</v>
      </c>
      <c r="F66" s="179" t="s">
        <v>200</v>
      </c>
      <c r="G66" s="185">
        <v>29.14</v>
      </c>
      <c r="H66" s="185" t="e">
        <f>G66*O1</f>
        <v>#REF!</v>
      </c>
      <c r="I66" s="198"/>
      <c r="J66" s="44" t="s">
        <v>179</v>
      </c>
      <c r="K66" s="205">
        <f t="shared" si="1"/>
        <v>66</v>
      </c>
      <c r="L66" s="49">
        <v>1</v>
      </c>
      <c r="M66" s="44" t="s">
        <v>135</v>
      </c>
    </row>
    <row r="67" spans="1:13" s="180" customFormat="1" ht="66" x14ac:dyDescent="0.25">
      <c r="A67" s="180">
        <f t="shared" si="0"/>
        <v>67</v>
      </c>
      <c r="D67" s="197"/>
      <c r="E67" s="179" t="s">
        <v>180</v>
      </c>
      <c r="F67" s="179" t="s">
        <v>201</v>
      </c>
      <c r="G67" s="185">
        <v>34.42</v>
      </c>
      <c r="H67" s="185" t="e">
        <f>G67*O1</f>
        <v>#REF!</v>
      </c>
      <c r="I67" s="198"/>
      <c r="J67" s="44" t="s">
        <v>181</v>
      </c>
      <c r="K67" s="205">
        <f t="shared" si="1"/>
        <v>67</v>
      </c>
      <c r="L67" s="49">
        <v>1</v>
      </c>
      <c r="M67" s="44" t="s">
        <v>135</v>
      </c>
    </row>
    <row r="68" spans="1:13" s="180" customFormat="1" ht="66" x14ac:dyDescent="0.25">
      <c r="A68" s="180">
        <f t="shared" ref="A68:A92" si="2">A67+1</f>
        <v>68</v>
      </c>
      <c r="D68" s="197"/>
      <c r="E68" s="179" t="s">
        <v>182</v>
      </c>
      <c r="F68" s="179" t="s">
        <v>201</v>
      </c>
      <c r="G68" s="185">
        <v>34.76</v>
      </c>
      <c r="H68" s="185" t="e">
        <f>G68*O1</f>
        <v>#REF!</v>
      </c>
      <c r="I68" s="198"/>
      <c r="J68" s="44" t="s">
        <v>181</v>
      </c>
      <c r="K68" s="205">
        <f t="shared" ref="K68:K92" si="3">K67+1</f>
        <v>68</v>
      </c>
      <c r="L68" s="49">
        <v>2</v>
      </c>
      <c r="M68" s="44" t="s">
        <v>138</v>
      </c>
    </row>
    <row r="69" spans="1:13" s="180" customFormat="1" ht="66" x14ac:dyDescent="0.25">
      <c r="A69" s="180">
        <f t="shared" si="2"/>
        <v>69</v>
      </c>
      <c r="D69" s="197"/>
      <c r="E69" s="179" t="s">
        <v>183</v>
      </c>
      <c r="F69" s="179" t="s">
        <v>201</v>
      </c>
      <c r="G69" s="185">
        <v>28.9</v>
      </c>
      <c r="H69" s="185" t="e">
        <f>G69*O1</f>
        <v>#REF!</v>
      </c>
      <c r="I69" s="198"/>
      <c r="J69" s="44" t="s">
        <v>181</v>
      </c>
      <c r="K69" s="205">
        <f t="shared" si="3"/>
        <v>69</v>
      </c>
      <c r="L69" s="49">
        <v>2</v>
      </c>
      <c r="M69" s="44" t="s">
        <v>138</v>
      </c>
    </row>
    <row r="70" spans="1:13" s="180" customFormat="1" ht="33" x14ac:dyDescent="0.25">
      <c r="A70" s="180">
        <f t="shared" si="2"/>
        <v>70</v>
      </c>
      <c r="D70" s="197"/>
      <c r="E70" s="179" t="s">
        <v>125</v>
      </c>
      <c r="F70" s="179" t="s">
        <v>169</v>
      </c>
      <c r="G70" s="185">
        <v>26.65</v>
      </c>
      <c r="H70" s="184" t="e">
        <f>G70*O1</f>
        <v>#REF!</v>
      </c>
      <c r="I70" s="47"/>
      <c r="J70" s="44" t="s">
        <v>126</v>
      </c>
      <c r="K70" s="205">
        <f t="shared" si="3"/>
        <v>70</v>
      </c>
      <c r="L70" s="49"/>
      <c r="M70" s="44"/>
    </row>
    <row r="71" spans="1:13" s="180" customFormat="1" ht="33" x14ac:dyDescent="0.25">
      <c r="A71" s="180">
        <f t="shared" si="2"/>
        <v>71</v>
      </c>
      <c r="D71" s="197"/>
      <c r="E71" s="179" t="s">
        <v>127</v>
      </c>
      <c r="F71" s="179" t="s">
        <v>169</v>
      </c>
      <c r="G71" s="185">
        <v>230.23</v>
      </c>
      <c r="H71" s="184" t="e">
        <f>G71*O1</f>
        <v>#REF!</v>
      </c>
      <c r="I71" s="47"/>
      <c r="J71" s="44" t="s">
        <v>126</v>
      </c>
      <c r="K71" s="205">
        <f t="shared" si="3"/>
        <v>71</v>
      </c>
      <c r="L71" s="49"/>
      <c r="M71" s="44"/>
    </row>
    <row r="72" spans="1:13" s="180" customFormat="1" ht="33" x14ac:dyDescent="0.25">
      <c r="A72" s="180">
        <f t="shared" si="2"/>
        <v>72</v>
      </c>
      <c r="D72" s="197"/>
      <c r="E72" s="179" t="s">
        <v>128</v>
      </c>
      <c r="F72" s="179" t="s">
        <v>169</v>
      </c>
      <c r="G72" s="185">
        <v>432.76</v>
      </c>
      <c r="H72" s="184" t="e">
        <f>G72*O1</f>
        <v>#REF!</v>
      </c>
      <c r="I72" s="47"/>
      <c r="J72" s="44" t="s">
        <v>126</v>
      </c>
      <c r="K72" s="205">
        <f t="shared" si="3"/>
        <v>72</v>
      </c>
      <c r="L72" s="49"/>
      <c r="M72" s="44"/>
    </row>
    <row r="73" spans="1:13" s="180" customFormat="1" ht="33" x14ac:dyDescent="0.25">
      <c r="A73" s="180">
        <f t="shared" si="2"/>
        <v>73</v>
      </c>
      <c r="D73" s="197"/>
      <c r="E73" s="179" t="s">
        <v>129</v>
      </c>
      <c r="F73" s="179" t="s">
        <v>169</v>
      </c>
      <c r="G73" s="185">
        <v>68.16</v>
      </c>
      <c r="H73" s="184" t="e">
        <f>G73*O1</f>
        <v>#REF!</v>
      </c>
      <c r="I73" s="47"/>
      <c r="J73" s="44" t="s">
        <v>126</v>
      </c>
      <c r="K73" s="205">
        <f t="shared" si="3"/>
        <v>73</v>
      </c>
      <c r="L73" s="49"/>
      <c r="M73" s="44"/>
    </row>
    <row r="74" spans="1:13" s="180" customFormat="1" ht="66" x14ac:dyDescent="0.25">
      <c r="A74" s="180">
        <f t="shared" si="2"/>
        <v>74</v>
      </c>
      <c r="D74" s="197"/>
      <c r="E74" s="320" t="s">
        <v>783</v>
      </c>
      <c r="F74" s="320" t="s">
        <v>198</v>
      </c>
      <c r="G74" s="185"/>
      <c r="H74" s="185"/>
      <c r="I74" s="47"/>
      <c r="J74" s="44"/>
      <c r="K74" s="205">
        <f t="shared" si="3"/>
        <v>74</v>
      </c>
      <c r="L74" s="49"/>
      <c r="M74" s="44"/>
    </row>
    <row r="75" spans="1:13" s="180" customFormat="1" ht="16.5" x14ac:dyDescent="0.25">
      <c r="A75" s="180">
        <f t="shared" si="2"/>
        <v>75</v>
      </c>
      <c r="D75" s="197"/>
      <c r="E75" s="179"/>
      <c r="F75" s="179"/>
      <c r="G75" s="185"/>
      <c r="H75" s="185"/>
      <c r="I75" s="47"/>
      <c r="J75" s="44"/>
      <c r="K75" s="205">
        <f t="shared" si="3"/>
        <v>75</v>
      </c>
      <c r="L75" s="49"/>
      <c r="M75" s="44"/>
    </row>
    <row r="76" spans="1:13" ht="49.5" x14ac:dyDescent="0.3">
      <c r="A76" s="180">
        <f t="shared" si="2"/>
        <v>76</v>
      </c>
      <c r="D76" s="168"/>
      <c r="E76" s="320" t="s">
        <v>967</v>
      </c>
      <c r="F76" s="320" t="s">
        <v>199</v>
      </c>
      <c r="G76" s="185">
        <v>38.520000000000003</v>
      </c>
      <c r="H76" s="184" t="e">
        <f>G76*O1</f>
        <v>#REF!</v>
      </c>
      <c r="I76" s="47"/>
      <c r="J76" s="41" t="s">
        <v>173</v>
      </c>
      <c r="K76" s="205">
        <f t="shared" si="3"/>
        <v>76</v>
      </c>
      <c r="L76" s="49">
        <v>1</v>
      </c>
      <c r="M76" s="44" t="s">
        <v>135</v>
      </c>
    </row>
    <row r="77" spans="1:13" s="180" customFormat="1" ht="49.5" x14ac:dyDescent="0.25">
      <c r="A77" s="180">
        <f>A76+1</f>
        <v>77</v>
      </c>
      <c r="D77" s="168"/>
      <c r="E77" s="320" t="s">
        <v>783</v>
      </c>
      <c r="F77" s="320" t="s">
        <v>199</v>
      </c>
      <c r="G77" s="185">
        <v>72.849999999999994</v>
      </c>
      <c r="H77" s="185" t="e">
        <f>G77*O1</f>
        <v>#REF!</v>
      </c>
      <c r="I77" s="47"/>
      <c r="J77" s="44" t="s">
        <v>173</v>
      </c>
      <c r="K77" s="205">
        <f>K76+1</f>
        <v>77</v>
      </c>
      <c r="L77" s="49">
        <v>1</v>
      </c>
      <c r="M77" s="44" t="s">
        <v>135</v>
      </c>
    </row>
    <row r="78" spans="1:13" s="180" customFormat="1" ht="49.5" x14ac:dyDescent="0.25">
      <c r="A78" s="180">
        <f>A77+1</f>
        <v>78</v>
      </c>
      <c r="D78" s="168"/>
      <c r="E78" s="179" t="s">
        <v>176</v>
      </c>
      <c r="F78" s="179" t="s">
        <v>199</v>
      </c>
      <c r="G78" s="185">
        <v>55.73</v>
      </c>
      <c r="H78" s="185" t="e">
        <f>G78*O1</f>
        <v>#REF!</v>
      </c>
      <c r="I78" s="47"/>
      <c r="J78" s="44" t="s">
        <v>173</v>
      </c>
      <c r="K78" s="205">
        <f>K77+1</f>
        <v>78</v>
      </c>
      <c r="L78" s="49">
        <v>2</v>
      </c>
      <c r="M78" s="44" t="s">
        <v>138</v>
      </c>
    </row>
    <row r="79" spans="1:13" s="180" customFormat="1" ht="49.5" x14ac:dyDescent="0.25">
      <c r="A79" s="180">
        <f t="shared" si="2"/>
        <v>79</v>
      </c>
      <c r="D79" s="168"/>
      <c r="E79" s="179" t="s">
        <v>177</v>
      </c>
      <c r="F79" s="179" t="s">
        <v>199</v>
      </c>
      <c r="G79" s="185">
        <v>67.819999999999993</v>
      </c>
      <c r="H79" s="185" t="e">
        <f>G79*O1</f>
        <v>#REF!</v>
      </c>
      <c r="I79" s="47"/>
      <c r="J79" s="44" t="s">
        <v>173</v>
      </c>
      <c r="K79" s="205">
        <f t="shared" si="3"/>
        <v>79</v>
      </c>
      <c r="L79" s="49">
        <v>2</v>
      </c>
      <c r="M79" s="44" t="s">
        <v>138</v>
      </c>
    </row>
    <row r="80" spans="1:13" s="180" customFormat="1" ht="16.5" x14ac:dyDescent="0.3">
      <c r="A80" s="180">
        <f>A79+1</f>
        <v>80</v>
      </c>
      <c r="D80" s="168"/>
      <c r="E80" s="179"/>
      <c r="F80" s="179"/>
      <c r="G80" s="185"/>
      <c r="H80" s="184"/>
      <c r="I80" s="47"/>
      <c r="J80" s="41"/>
      <c r="K80" s="205">
        <f>K79+1</f>
        <v>80</v>
      </c>
      <c r="L80" s="49"/>
      <c r="M80" s="44"/>
    </row>
    <row r="81" spans="1:14" s="180" customFormat="1" ht="16.5" x14ac:dyDescent="0.3">
      <c r="A81" s="180">
        <f t="shared" si="2"/>
        <v>81</v>
      </c>
      <c r="D81" s="168"/>
      <c r="E81" s="179"/>
      <c r="F81" s="179"/>
      <c r="G81" s="185"/>
      <c r="H81" s="184"/>
      <c r="I81" s="47"/>
      <c r="J81" s="41"/>
      <c r="K81" s="205">
        <f t="shared" si="3"/>
        <v>81</v>
      </c>
      <c r="L81" s="49"/>
      <c r="M81" s="44"/>
    </row>
    <row r="82" spans="1:14" ht="66" x14ac:dyDescent="0.25">
      <c r="A82" s="180">
        <f t="shared" si="2"/>
        <v>82</v>
      </c>
      <c r="D82" s="194"/>
      <c r="E82" s="179" t="s">
        <v>188</v>
      </c>
      <c r="F82" s="179" t="s">
        <v>203</v>
      </c>
      <c r="G82" s="185">
        <v>269.17</v>
      </c>
      <c r="H82" s="185" t="e">
        <f>G82*O1</f>
        <v>#REF!</v>
      </c>
      <c r="I82" s="47"/>
      <c r="J82" s="44" t="s">
        <v>189</v>
      </c>
      <c r="K82" s="205">
        <f t="shared" si="3"/>
        <v>82</v>
      </c>
      <c r="L82" s="49"/>
      <c r="M82" s="44" t="s">
        <v>190</v>
      </c>
    </row>
    <row r="83" spans="1:14" ht="66" x14ac:dyDescent="0.25">
      <c r="A83" s="180">
        <f t="shared" si="2"/>
        <v>83</v>
      </c>
      <c r="D83" s="194"/>
      <c r="E83" s="179" t="s">
        <v>191</v>
      </c>
      <c r="F83" s="179" t="s">
        <v>203</v>
      </c>
      <c r="G83" s="185">
        <v>215.33</v>
      </c>
      <c r="H83" s="185" t="e">
        <f>G83*O1</f>
        <v>#REF!</v>
      </c>
      <c r="I83" s="47"/>
      <c r="J83" s="44" t="s">
        <v>189</v>
      </c>
      <c r="K83" s="205">
        <f t="shared" si="3"/>
        <v>83</v>
      </c>
      <c r="L83" s="49"/>
      <c r="M83" s="44" t="s">
        <v>192</v>
      </c>
    </row>
    <row r="84" spans="1:14" ht="66" x14ac:dyDescent="0.25">
      <c r="A84" s="180">
        <f t="shared" si="2"/>
        <v>84</v>
      </c>
      <c r="D84" s="194"/>
      <c r="E84" s="179" t="s">
        <v>193</v>
      </c>
      <c r="F84" s="179" t="s">
        <v>204</v>
      </c>
      <c r="G84" s="185">
        <v>327.75</v>
      </c>
      <c r="H84" s="185" t="e">
        <f>G84*O1</f>
        <v>#REF!</v>
      </c>
      <c r="I84" s="47"/>
      <c r="J84" s="44" t="s">
        <v>194</v>
      </c>
      <c r="K84" s="205">
        <f t="shared" si="3"/>
        <v>84</v>
      </c>
      <c r="L84" s="49"/>
      <c r="M84" s="44" t="s">
        <v>190</v>
      </c>
    </row>
    <row r="85" spans="1:14" ht="66" x14ac:dyDescent="0.25">
      <c r="A85" s="180">
        <f t="shared" si="2"/>
        <v>85</v>
      </c>
      <c r="D85" s="194"/>
      <c r="E85" s="179" t="s">
        <v>195</v>
      </c>
      <c r="F85" s="179" t="s">
        <v>204</v>
      </c>
      <c r="G85" s="185">
        <v>256.45</v>
      </c>
      <c r="H85" s="185" t="e">
        <f>G85*O1</f>
        <v>#REF!</v>
      </c>
      <c r="I85" s="47"/>
      <c r="J85" s="44" t="s">
        <v>194</v>
      </c>
      <c r="K85" s="205">
        <f t="shared" si="3"/>
        <v>85</v>
      </c>
      <c r="L85" s="49"/>
      <c r="M85" s="44" t="s">
        <v>192</v>
      </c>
    </row>
    <row r="86" spans="1:14" s="180" customFormat="1" ht="33" x14ac:dyDescent="0.25">
      <c r="A86" s="180">
        <f t="shared" si="2"/>
        <v>86</v>
      </c>
      <c r="D86" s="194"/>
      <c r="E86" s="188" t="s">
        <v>130</v>
      </c>
      <c r="F86" s="179" t="s">
        <v>170</v>
      </c>
      <c r="G86" s="185">
        <v>163.22</v>
      </c>
      <c r="H86" s="184" t="e">
        <f>G86*O1</f>
        <v>#REF!</v>
      </c>
      <c r="I86" s="47"/>
      <c r="J86" s="44" t="s">
        <v>131</v>
      </c>
      <c r="K86" s="205">
        <f t="shared" si="3"/>
        <v>86</v>
      </c>
      <c r="L86" s="49"/>
      <c r="M86" s="44"/>
    </row>
    <row r="87" spans="1:14" s="180" customFormat="1" ht="33" x14ac:dyDescent="0.25">
      <c r="A87" s="180">
        <f t="shared" si="2"/>
        <v>87</v>
      </c>
      <c r="D87" s="194"/>
      <c r="E87" s="179" t="s">
        <v>132</v>
      </c>
      <c r="F87" s="179" t="s">
        <v>170</v>
      </c>
      <c r="G87" s="185">
        <v>149.62</v>
      </c>
      <c r="H87" s="184" t="e">
        <f>G87*O1</f>
        <v>#REF!</v>
      </c>
      <c r="I87" s="47"/>
      <c r="J87" s="44" t="s">
        <v>131</v>
      </c>
      <c r="K87" s="205">
        <f t="shared" si="3"/>
        <v>87</v>
      </c>
      <c r="L87" s="49"/>
      <c r="M87" s="44"/>
    </row>
    <row r="88" spans="1:14" s="180" customFormat="1" ht="16.5" x14ac:dyDescent="0.25">
      <c r="A88" s="180">
        <f t="shared" si="2"/>
        <v>88</v>
      </c>
      <c r="D88" s="194"/>
      <c r="E88" s="179"/>
      <c r="F88" s="179"/>
      <c r="G88" s="185"/>
      <c r="H88" s="184"/>
      <c r="I88" s="47"/>
      <c r="J88" s="44"/>
      <c r="K88" s="205">
        <f t="shared" si="3"/>
        <v>88</v>
      </c>
      <c r="L88" s="49"/>
      <c r="M88" s="44"/>
    </row>
    <row r="89" spans="1:14" s="180" customFormat="1" ht="16.5" x14ac:dyDescent="0.25">
      <c r="A89" s="180">
        <f t="shared" si="2"/>
        <v>89</v>
      </c>
      <c r="D89" s="194"/>
      <c r="E89" s="179"/>
      <c r="F89" s="179"/>
      <c r="G89" s="185"/>
      <c r="H89" s="184"/>
      <c r="I89" s="47"/>
      <c r="J89" s="44"/>
      <c r="K89" s="205">
        <f t="shared" si="3"/>
        <v>89</v>
      </c>
      <c r="L89" s="49"/>
      <c r="M89" s="44"/>
    </row>
    <row r="90" spans="1:14" s="202" customFormat="1" ht="16.5" x14ac:dyDescent="0.25">
      <c r="A90" s="202">
        <f t="shared" si="2"/>
        <v>90</v>
      </c>
      <c r="D90" s="204"/>
      <c r="E90" s="203" t="s">
        <v>399</v>
      </c>
      <c r="F90" s="203" t="s">
        <v>399</v>
      </c>
      <c r="G90" s="185"/>
      <c r="H90" s="184"/>
      <c r="I90" s="47"/>
      <c r="J90" s="44"/>
      <c r="K90" s="205">
        <f t="shared" si="3"/>
        <v>90</v>
      </c>
      <c r="L90" s="49"/>
      <c r="M90" s="44"/>
    </row>
    <row r="91" spans="1:14" ht="49.5" x14ac:dyDescent="0.25">
      <c r="A91" s="202">
        <f t="shared" si="2"/>
        <v>91</v>
      </c>
      <c r="B91" s="202"/>
      <c r="C91" s="202"/>
      <c r="D91" s="204"/>
      <c r="E91" s="203" t="s">
        <v>413</v>
      </c>
      <c r="F91" s="203" t="s">
        <v>409</v>
      </c>
      <c r="G91" s="185">
        <v>40</v>
      </c>
      <c r="H91" s="184" t="e">
        <f>G91*O1</f>
        <v>#REF!</v>
      </c>
      <c r="I91" s="47"/>
      <c r="J91" s="44"/>
      <c r="K91" s="205">
        <f t="shared" si="3"/>
        <v>91</v>
      </c>
      <c r="L91" s="49"/>
      <c r="M91" s="44"/>
    </row>
    <row r="92" spans="1:14" ht="49.5" x14ac:dyDescent="0.25">
      <c r="A92" s="202">
        <f t="shared" si="2"/>
        <v>92</v>
      </c>
      <c r="B92" s="202"/>
      <c r="C92" s="202"/>
      <c r="D92" s="204"/>
      <c r="E92" s="203" t="s">
        <v>414</v>
      </c>
      <c r="F92" s="203" t="s">
        <v>410</v>
      </c>
      <c r="G92" s="185">
        <v>40</v>
      </c>
      <c r="H92" s="184" t="e">
        <f>G92*O1</f>
        <v>#REF!</v>
      </c>
      <c r="I92" s="47"/>
      <c r="J92" s="44"/>
      <c r="K92" s="205">
        <f t="shared" si="3"/>
        <v>92</v>
      </c>
      <c r="L92" s="49"/>
      <c r="M92" s="44"/>
    </row>
    <row r="93" spans="1:14" x14ac:dyDescent="0.25">
      <c r="E93"/>
      <c r="F93"/>
      <c r="G93"/>
      <c r="H93"/>
      <c r="I93"/>
      <c r="J93"/>
      <c r="K93"/>
      <c r="L93"/>
      <c r="M93"/>
      <c r="N93"/>
    </row>
    <row r="117" spans="5:14" x14ac:dyDescent="0.25">
      <c r="E117" s="177"/>
      <c r="F117" s="177"/>
      <c r="G117" s="177"/>
      <c r="H117" s="177"/>
    </row>
    <row r="120" spans="5:14" x14ac:dyDescent="0.25">
      <c r="E120"/>
      <c r="F120"/>
      <c r="G120"/>
      <c r="H120"/>
      <c r="I120"/>
      <c r="J120"/>
      <c r="K120"/>
      <c r="L120"/>
      <c r="M120"/>
      <c r="N120"/>
    </row>
  </sheetData>
  <mergeCells count="5">
    <mergeCell ref="L1:L2"/>
    <mergeCell ref="F1:F2"/>
    <mergeCell ref="E1:E2"/>
    <mergeCell ref="G1:H1"/>
    <mergeCell ref="J1:J2"/>
  </mergeCells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5CA50BE-33C2-4D22-B51C-15C154D7200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</vt:i4>
      </vt:variant>
    </vt:vector>
  </HeadingPairs>
  <TitlesOfParts>
    <vt:vector size="11" baseType="lpstr">
      <vt:lpstr>Лист1</vt:lpstr>
      <vt:lpstr>L2</vt:lpstr>
      <vt:lpstr>Функции</vt:lpstr>
      <vt:lpstr>Лист3</vt:lpstr>
      <vt:lpstr>Техника</vt:lpstr>
      <vt:lpstr>Датчики</vt:lpstr>
      <vt:lpstr>ЧП</vt:lpstr>
      <vt:lpstr>УР</vt:lpstr>
      <vt:lpstr>КИП</vt:lpstr>
      <vt:lpstr>Лист2</vt:lpstr>
      <vt:lpstr>Лист1!Область_печати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Лапин Вадим</dc:creator>
  <cp:lastModifiedBy>Вадим</cp:lastModifiedBy>
  <cp:lastPrinted>2021-11-01T18:12:33Z</cp:lastPrinted>
  <dcterms:created xsi:type="dcterms:W3CDTF">2020-07-21T14:01:15Z</dcterms:created>
  <dcterms:modified xsi:type="dcterms:W3CDTF">2021-12-15T17:22:14Z</dcterms:modified>
</cp:coreProperties>
</file>